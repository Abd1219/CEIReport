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09F60F57-F46E-4EE5-A21A-51C73EA02F8C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INFO" sheetId="1" r:id="rId1"/>
    <sheet name="FOTO" sheetId="2" r:id="rId2"/>
  </sheets>
  <definedNames>
    <definedName name="_xlnm.Print_Area" localSheetId="1">FOTO!$A$1:$M$72</definedName>
    <definedName name="_xlnm.Print_Area" localSheetId="0">INFO!$A$1:$M$69</definedName>
    <definedName name="_xlnm.Print_Titles" localSheetId="0">INFO!$1:$5</definedName>
  </definedNames>
  <calcPr calcId="191028"/>
</workbook>
</file>

<file path=xl/calcChain.xml><?xml version="1.0" encoding="utf-8"?>
<calcChain xmlns="http://schemas.openxmlformats.org/spreadsheetml/2006/main">
  <c r="C9" i="2" l="1"/>
  <c r="C10" i="2"/>
  <c r="E7" i="2"/>
  <c r="K7" i="2"/>
  <c r="E8" i="2"/>
  <c r="E9" i="2"/>
  <c r="C13" i="2"/>
  <c r="C11" i="2"/>
  <c r="A71" i="2"/>
  <c r="I68" i="2"/>
  <c r="A68" i="2"/>
  <c r="M51" i="1"/>
  <c r="L53" i="1" s="1"/>
  <c r="M50" i="1"/>
  <c r="M44" i="1"/>
  <c r="L46" i="1" s="1"/>
  <c r="M43" i="1"/>
  <c r="C8" i="2"/>
</calcChain>
</file>

<file path=xl/sharedStrings.xml><?xml version="1.0" encoding="utf-8"?>
<sst xmlns="http://schemas.openxmlformats.org/spreadsheetml/2006/main" count="91" uniqueCount="73">
  <si>
    <t>REPORTE DIARIO DE ACTIVIDADES</t>
  </si>
  <si>
    <t>Fecha</t>
  </si>
  <si>
    <t>No. De Contrato</t>
  </si>
  <si>
    <t>PROYECTO</t>
  </si>
  <si>
    <t>FASE</t>
  </si>
  <si>
    <t>SISTEMA</t>
  </si>
  <si>
    <t>DISCIPLINA</t>
  </si>
  <si>
    <t>Obra Civil</t>
  </si>
  <si>
    <t>RESPONSABLE</t>
  </si>
  <si>
    <t>Seguridad</t>
  </si>
  <si>
    <t>Clima Actual</t>
  </si>
  <si>
    <t>Fuerza de Trabajo</t>
  </si>
  <si>
    <t>SP SEG</t>
  </si>
  <si>
    <t>RESIDENTE</t>
  </si>
  <si>
    <t>O.P.</t>
  </si>
  <si>
    <t xml:space="preserve">CADENERO </t>
  </si>
  <si>
    <t xml:space="preserve">OFICIALES </t>
  </si>
  <si>
    <t xml:space="preserve">AYUDANTE </t>
  </si>
  <si>
    <t>Supervisor de Calidad</t>
  </si>
  <si>
    <t>TOTAL</t>
  </si>
  <si>
    <t>CANTIDAD</t>
  </si>
  <si>
    <t>HORAS</t>
  </si>
  <si>
    <t>Total de HH</t>
  </si>
  <si>
    <t xml:space="preserve">HORAS </t>
  </si>
  <si>
    <t>Maquinaria Utilizada</t>
  </si>
  <si>
    <t>EQUIPO</t>
  </si>
  <si>
    <t>Total de HM</t>
  </si>
  <si>
    <t>Actividades planeadas al siguiente día</t>
  </si>
  <si>
    <t>REAL</t>
  </si>
  <si>
    <t>Supervisor de Minera Camino Rojo</t>
  </si>
  <si>
    <t>% de Avance de las actividades faltantes en todas las áreas involucradas.</t>
  </si>
  <si>
    <t>Responsable de Contratista</t>
  </si>
  <si>
    <t>Nota: Este formato ayudará para revisión por cualquier intento de reclamo del contratista hacia Minera Camino Rojo.</t>
  </si>
  <si>
    <t>ÁREA</t>
  </si>
  <si>
    <t>Actividades Realizadas</t>
  </si>
  <si>
    <t>CATEGORÍA</t>
  </si>
  <si>
    <t xml:space="preserve">TOPÓGRAFO </t>
  </si>
  <si>
    <t>Reporte Fotográfico</t>
  </si>
  <si>
    <t xml:space="preserve">BANDERERO </t>
  </si>
  <si>
    <t>DESCRIPCIÓN DE ALCANCE DE CONTRATO.</t>
  </si>
  <si>
    <t>Ing. Jose Rafael Soto Molina</t>
  </si>
  <si>
    <t>Obra civil / Mtto</t>
  </si>
  <si>
    <t>GENERADOR</t>
  </si>
  <si>
    <t>VEHICULOS</t>
  </si>
  <si>
    <t>COMPRESOR</t>
  </si>
  <si>
    <t xml:space="preserve">CHARLA DE SEGURIDAD </t>
  </si>
  <si>
    <t>HORMIGONERA</t>
  </si>
  <si>
    <t xml:space="preserve">Sup. obra </t>
  </si>
  <si>
    <t>CONSTRUCCION / PROCESOS</t>
  </si>
  <si>
    <t>BAILARINA</t>
  </si>
  <si>
    <t>CIMENTACION OVERLAND 4</t>
  </si>
  <si>
    <t xml:space="preserve">            Arq. Jennifer Briseño / Ing. Julio Juarez</t>
  </si>
  <si>
    <t>Rafael Soto Molina</t>
  </si>
  <si>
    <t>ROTOMARTILLO</t>
  </si>
  <si>
    <t>MINICARGADOR</t>
  </si>
  <si>
    <t>OVERLAND 4</t>
  </si>
  <si>
    <t xml:space="preserve">OBSERVACIONES :   </t>
  </si>
  <si>
    <t>1. Habilitado de cimbra para dados D-5</t>
  </si>
  <si>
    <t>2. Cimbrado de de dados 2 D-2, 2 D-5, 3 D-6</t>
  </si>
  <si>
    <t>3. Compactacion de excavacion polea de cola</t>
  </si>
  <si>
    <t>4. Liberacion de compactacion por laboratorio</t>
  </si>
  <si>
    <t>5. Colado de plantilla en Polea de cola</t>
  </si>
  <si>
    <t>6. Acamellonado de matriales producto de excavacion</t>
  </si>
  <si>
    <t>7. Retiro de berma en excavacion</t>
  </si>
  <si>
    <t>1. Colado de de dados 2 D-2, 2 D-5, 3 D-6</t>
  </si>
  <si>
    <t>2. Cimbrado de de dados Zapata 6</t>
  </si>
  <si>
    <t>Revision de niveles de excavacion</t>
  </si>
  <si>
    <t>Plantilla en Polea de cola</t>
  </si>
  <si>
    <t>Zapata Colada</t>
  </si>
  <si>
    <t>Dados Colados</t>
  </si>
  <si>
    <t>Dados cimbrados</t>
  </si>
  <si>
    <t>Plantilla</t>
  </si>
  <si>
    <t>Cimbrado de dados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</si>
</sst>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9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1"/>
      <color rgb="FFFF0000"/>
      <name val="Calibri"/>
      <family val="2"/>
    </font>
    <font>
      <sz val="11"/>
      <name val="Calibri"/>
      <family val="2"/>
    </font>
    <font>
      <sz val="10"/>
      <name val="Arial"/>
      <family val="2"/>
    </font>
    <font>
      <b/>
      <sz val="12"/>
      <color theme="1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FF0000"/>
      <name val="Arial"/>
      <family val="2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sz val="8"/>
      <color rgb="FF4D5156"/>
      <name val="Arial"/>
      <family val="2"/>
    </font>
    <font>
      <sz val="12"/>
      <color theme="4" tint="-0.499984740745262"/>
      <name val="Bahnschrift Condensed"/>
      <family val="2"/>
    </font>
    <font>
      <sz val="13"/>
      <color theme="4" tint="-0.499984740745262"/>
      <name val="Bahnschrift Condensed"/>
      <family val="2"/>
    </font>
    <font>
      <sz val="11"/>
      <color rgb="FFC00000"/>
      <name val="Arial"/>
      <family val="2"/>
    </font>
    <font>
      <u/>
      <sz val="11"/>
      <color theme="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DD9C3"/>
        <bgColor rgb="FFDDD9C3"/>
      </patternFill>
    </fill>
    <fill>
      <patternFill patternType="solid">
        <fgColor rgb="FF1F497D"/>
        <bgColor rgb="FF1F497D"/>
      </patternFill>
    </fill>
    <fill>
      <patternFill patternType="solid">
        <fgColor rgb="FFEEECE1"/>
        <bgColor rgb="FFEEECE1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theme="0"/>
      </patternFill>
    </fill>
    <fill>
      <patternFill patternType="solid">
        <fgColor rgb="FFFF0066"/>
        <bgColor theme="0"/>
      </patternFill>
    </fill>
    <fill>
      <patternFill patternType="solid">
        <fgColor rgb="FF0066FF"/>
        <bgColor theme="0"/>
      </patternFill>
    </fill>
    <fill>
      <patternFill patternType="solid">
        <fgColor rgb="FF50DEFA"/>
        <bgColor theme="0"/>
      </patternFill>
    </fill>
  </fills>
  <borders count="8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ck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B1BBCC"/>
      </right>
      <top style="medium">
        <color indexed="64"/>
      </top>
      <bottom style="medium">
        <color indexed="64"/>
      </bottom>
      <diagonal/>
    </border>
    <border>
      <left style="thin">
        <color rgb="FFB1BBCC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rgb="FF000000"/>
      </right>
      <top style="thin">
        <color indexed="64"/>
      </top>
      <bottom/>
      <diagonal/>
    </border>
  </borders>
  <cellStyleXfs count="1">
    <xf numFmtId="0" fontId="0" fillId="0" borderId="0"/>
  </cellStyleXfs>
  <cellXfs count="198">
    <xf numFmtId="0" fontId="0" fillId="0" borderId="0" xfId="0"/>
    <xf numFmtId="0" fontId="1" fillId="2" borderId="1" xfId="0" applyFont="1" applyFill="1" applyBorder="1"/>
    <xf numFmtId="0" fontId="1" fillId="2" borderId="42" xfId="0" applyFont="1" applyFill="1" applyBorder="1"/>
    <xf numFmtId="0" fontId="8" fillId="2" borderId="1" xfId="0" applyFont="1" applyFill="1" applyBorder="1"/>
    <xf numFmtId="0" fontId="8" fillId="2" borderId="21" xfId="0" applyFont="1" applyFill="1" applyBorder="1"/>
    <xf numFmtId="0" fontId="8" fillId="2" borderId="22" xfId="0" applyFont="1" applyFill="1" applyBorder="1"/>
    <xf numFmtId="0" fontId="8" fillId="2" borderId="23" xfId="0" applyFont="1" applyFill="1" applyBorder="1"/>
    <xf numFmtId="0" fontId="8" fillId="2" borderId="25" xfId="0" applyFont="1" applyFill="1" applyBorder="1"/>
    <xf numFmtId="0" fontId="9" fillId="2" borderId="1" xfId="0" applyFont="1" applyFill="1" applyBorder="1"/>
    <xf numFmtId="0" fontId="8" fillId="2" borderId="51" xfId="0" applyFont="1" applyFill="1" applyBorder="1"/>
    <xf numFmtId="0" fontId="8" fillId="0" borderId="0" xfId="0" applyFont="1"/>
    <xf numFmtId="0" fontId="8" fillId="2" borderId="26" xfId="0" applyFont="1" applyFill="1" applyBorder="1"/>
    <xf numFmtId="0" fontId="8" fillId="2" borderId="27" xfId="0" applyFont="1" applyFill="1" applyBorder="1"/>
    <xf numFmtId="0" fontId="8" fillId="2" borderId="28" xfId="0" applyFont="1" applyFill="1" applyBorder="1"/>
    <xf numFmtId="0" fontId="11" fillId="5" borderId="29" xfId="0" applyFont="1" applyFill="1" applyBorder="1" applyAlignment="1">
      <alignment horizontal="center" vertical="center"/>
    </xf>
    <xf numFmtId="0" fontId="11" fillId="5" borderId="30" xfId="0" applyFont="1" applyFill="1" applyBorder="1" applyAlignment="1">
      <alignment horizontal="center" vertical="center"/>
    </xf>
    <xf numFmtId="0" fontId="11" fillId="5" borderId="30" xfId="0" applyFont="1" applyFill="1" applyBorder="1" applyAlignment="1">
      <alignment horizontal="center" vertical="center" wrapText="1"/>
    </xf>
    <xf numFmtId="0" fontId="11" fillId="5" borderId="31" xfId="0" applyFont="1" applyFill="1" applyBorder="1" applyAlignment="1">
      <alignment vertical="center" wrapText="1"/>
    </xf>
    <xf numFmtId="0" fontId="11" fillId="5" borderId="32" xfId="0" applyFont="1" applyFill="1" applyBorder="1" applyAlignment="1">
      <alignment vertical="center" wrapText="1"/>
    </xf>
    <xf numFmtId="0" fontId="8" fillId="2" borderId="35" xfId="0" applyFont="1" applyFill="1" applyBorder="1"/>
    <xf numFmtId="0" fontId="8" fillId="2" borderId="36" xfId="0" applyFont="1" applyFill="1" applyBorder="1"/>
    <xf numFmtId="0" fontId="8" fillId="2" borderId="38" xfId="0" applyFont="1" applyFill="1" applyBorder="1"/>
    <xf numFmtId="0" fontId="8" fillId="2" borderId="39" xfId="0" applyFont="1" applyFill="1" applyBorder="1"/>
    <xf numFmtId="0" fontId="5" fillId="2" borderId="1" xfId="0" applyFont="1" applyFill="1" applyBorder="1"/>
    <xf numFmtId="0" fontId="8" fillId="2" borderId="27" xfId="0" applyFont="1" applyFill="1" applyBorder="1" applyAlignment="1">
      <alignment horizontal="center"/>
    </xf>
    <xf numFmtId="0" fontId="8" fillId="5" borderId="29" xfId="0" applyFont="1" applyFill="1" applyBorder="1" applyAlignment="1">
      <alignment horizontal="center"/>
    </xf>
    <xf numFmtId="0" fontId="8" fillId="5" borderId="30" xfId="0" applyFont="1" applyFill="1" applyBorder="1" applyAlignment="1">
      <alignment horizontal="center"/>
    </xf>
    <xf numFmtId="0" fontId="8" fillId="5" borderId="30" xfId="0" applyFont="1" applyFill="1" applyBorder="1"/>
    <xf numFmtId="0" fontId="8" fillId="2" borderId="33" xfId="0" applyFont="1" applyFill="1" applyBorder="1" applyAlignment="1">
      <alignment horizontal="center"/>
    </xf>
    <xf numFmtId="0" fontId="8" fillId="2" borderId="34" xfId="0" applyFont="1" applyFill="1" applyBorder="1" applyAlignment="1">
      <alignment horizontal="center"/>
    </xf>
    <xf numFmtId="0" fontId="8" fillId="2" borderId="34" xfId="0" applyFont="1" applyFill="1" applyBorder="1"/>
    <xf numFmtId="0" fontId="8" fillId="2" borderId="37" xfId="0" applyFont="1" applyFill="1" applyBorder="1" applyAlignment="1">
      <alignment horizontal="center"/>
    </xf>
    <xf numFmtId="0" fontId="8" fillId="2" borderId="41" xfId="0" applyFont="1" applyFill="1" applyBorder="1" applyAlignment="1">
      <alignment horizontal="center"/>
    </xf>
    <xf numFmtId="0" fontId="8" fillId="2" borderId="41" xfId="0" applyFont="1" applyFill="1" applyBorder="1"/>
    <xf numFmtId="0" fontId="8" fillId="2" borderId="42" xfId="0" applyFont="1" applyFill="1" applyBorder="1"/>
    <xf numFmtId="0" fontId="8" fillId="2" borderId="49" xfId="0" applyFont="1" applyFill="1" applyBorder="1"/>
    <xf numFmtId="0" fontId="8" fillId="2" borderId="50" xfId="0" applyFont="1" applyFill="1" applyBorder="1"/>
    <xf numFmtId="0" fontId="0" fillId="8" borderId="62" xfId="0" applyFill="1" applyBorder="1" applyAlignment="1">
      <alignment horizontal="center" vertical="center"/>
    </xf>
    <xf numFmtId="0" fontId="0" fillId="8" borderId="63" xfId="0" applyFill="1" applyBorder="1"/>
    <xf numFmtId="0" fontId="0" fillId="8" borderId="64" xfId="0" applyFill="1" applyBorder="1" applyAlignment="1">
      <alignment horizontal="center" vertical="center"/>
    </xf>
    <xf numFmtId="0" fontId="0" fillId="8" borderId="65" xfId="0" applyFill="1" applyBorder="1"/>
    <xf numFmtId="0" fontId="14" fillId="0" borderId="0" xfId="0" applyFont="1"/>
    <xf numFmtId="0" fontId="8" fillId="2" borderId="66" xfId="0" applyFont="1" applyFill="1" applyBorder="1"/>
    <xf numFmtId="0" fontId="6" fillId="0" borderId="42" xfId="0" applyFont="1" applyBorder="1" applyAlignment="1">
      <alignment horizontal="left" wrapText="1"/>
    </xf>
    <xf numFmtId="0" fontId="0" fillId="0" borderId="42" xfId="0" applyBorder="1"/>
    <xf numFmtId="0" fontId="8" fillId="5" borderId="30" xfId="0" applyFont="1" applyFill="1" applyBorder="1" applyAlignment="1">
      <alignment horizontal="center" wrapText="1"/>
    </xf>
    <xf numFmtId="0" fontId="8" fillId="5" borderId="30" xfId="0" applyFont="1" applyFill="1" applyBorder="1" applyAlignment="1">
      <alignment horizontal="center" vertical="top" wrapText="1"/>
    </xf>
    <xf numFmtId="0" fontId="7" fillId="2" borderId="42" xfId="0" applyFont="1" applyFill="1" applyBorder="1" applyAlignment="1">
      <alignment vertical="center"/>
    </xf>
    <xf numFmtId="0" fontId="8" fillId="2" borderId="42" xfId="0" applyFont="1" applyFill="1" applyBorder="1" applyAlignment="1">
      <alignment vertical="center"/>
    </xf>
    <xf numFmtId="0" fontId="8" fillId="2" borderId="60" xfId="0" applyFont="1" applyFill="1" applyBorder="1"/>
    <xf numFmtId="0" fontId="8" fillId="2" borderId="61" xfId="0" applyFont="1" applyFill="1" applyBorder="1"/>
    <xf numFmtId="0" fontId="7" fillId="2" borderId="60" xfId="0" applyFont="1" applyFill="1" applyBorder="1" applyAlignment="1">
      <alignment vertical="center"/>
    </xf>
    <xf numFmtId="0" fontId="7" fillId="2" borderId="61" xfId="0" applyFont="1" applyFill="1" applyBorder="1" applyAlignment="1">
      <alignment vertical="center"/>
    </xf>
    <xf numFmtId="0" fontId="8" fillId="2" borderId="60" xfId="0" applyFont="1" applyFill="1" applyBorder="1" applyAlignment="1">
      <alignment vertical="center"/>
    </xf>
    <xf numFmtId="0" fontId="8" fillId="2" borderId="61" xfId="0" applyFont="1" applyFill="1" applyBorder="1" applyAlignment="1">
      <alignment vertical="center"/>
    </xf>
    <xf numFmtId="164" fontId="17" fillId="0" borderId="77" xfId="0" applyNumberFormat="1" applyFont="1" applyBorder="1" applyAlignment="1">
      <alignment vertical="center"/>
    </xf>
    <xf numFmtId="0" fontId="9" fillId="2" borderId="21" xfId="0" applyFont="1" applyFill="1" applyBorder="1"/>
    <xf numFmtId="0" fontId="9" fillId="2" borderId="24" xfId="0" applyFont="1" applyFill="1" applyBorder="1"/>
    <xf numFmtId="0" fontId="18" fillId="2" borderId="61" xfId="0" applyFont="1" applyFill="1" applyBorder="1"/>
    <xf numFmtId="0" fontId="8" fillId="2" borderId="78" xfId="0" applyFont="1" applyFill="1" applyBorder="1"/>
    <xf numFmtId="0" fontId="8" fillId="2" borderId="79" xfId="0" applyFont="1" applyFill="1" applyBorder="1"/>
    <xf numFmtId="0" fontId="8" fillId="2" borderId="80" xfId="0" applyFont="1" applyFill="1" applyBorder="1"/>
    <xf numFmtId="0" fontId="7" fillId="2" borderId="49" xfId="0" applyFont="1" applyFill="1" applyBorder="1" applyAlignment="1">
      <alignment vertical="center"/>
    </xf>
    <xf numFmtId="0" fontId="7" fillId="2" borderId="50" xfId="0" applyFont="1" applyFill="1" applyBorder="1" applyAlignment="1">
      <alignment vertical="center"/>
    </xf>
    <xf numFmtId="0" fontId="8" fillId="5" borderId="30" xfId="0" applyFont="1" applyFill="1" applyBorder="1" applyAlignment="1">
      <alignment horizontal="left"/>
    </xf>
    <xf numFmtId="0" fontId="8" fillId="2" borderId="52" xfId="0" applyFont="1" applyFill="1" applyBorder="1"/>
    <xf numFmtId="0" fontId="0" fillId="0" borderId="51" xfId="0" applyBorder="1"/>
    <xf numFmtId="0" fontId="8" fillId="2" borderId="53" xfId="0" applyFont="1" applyFill="1" applyBorder="1"/>
    <xf numFmtId="0" fontId="9" fillId="2" borderId="46" xfId="0" applyFont="1" applyFill="1" applyBorder="1" applyAlignment="1">
      <alignment horizontal="center" vertical="center"/>
    </xf>
    <xf numFmtId="0" fontId="6" fillId="0" borderId="47" xfId="0" applyFont="1" applyBorder="1"/>
    <xf numFmtId="0" fontId="6" fillId="0" borderId="48" xfId="0" applyFont="1" applyBorder="1"/>
    <xf numFmtId="0" fontId="4" fillId="2" borderId="13" xfId="0" applyFont="1" applyFill="1" applyBorder="1" applyAlignment="1">
      <alignment horizontal="center" vertical="center"/>
    </xf>
    <xf numFmtId="0" fontId="4" fillId="0" borderId="15" xfId="0" applyFont="1" applyBorder="1"/>
    <xf numFmtId="0" fontId="8" fillId="2" borderId="13" xfId="0" applyFont="1" applyFill="1" applyBorder="1" applyAlignment="1">
      <alignment horizontal="center" vertical="center"/>
    </xf>
    <xf numFmtId="0" fontId="6" fillId="0" borderId="14" xfId="0" applyFont="1" applyBorder="1"/>
    <xf numFmtId="0" fontId="6" fillId="0" borderId="15" xfId="0" applyFont="1" applyBorder="1"/>
    <xf numFmtId="0" fontId="6" fillId="2" borderId="13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/>
    </xf>
    <xf numFmtId="0" fontId="7" fillId="4" borderId="21" xfId="0" applyFont="1" applyFill="1" applyBorder="1" applyAlignment="1">
      <alignment horizontal="center" vertical="center"/>
    </xf>
    <xf numFmtId="0" fontId="6" fillId="0" borderId="23" xfId="0" applyFont="1" applyBorder="1"/>
    <xf numFmtId="0" fontId="8" fillId="2" borderId="43" xfId="0" applyFont="1" applyFill="1" applyBorder="1" applyAlignment="1">
      <alignment horizontal="center"/>
    </xf>
    <xf numFmtId="0" fontId="6" fillId="0" borderId="44" xfId="0" applyFont="1" applyBorder="1"/>
    <xf numFmtId="0" fontId="6" fillId="0" borderId="45" xfId="0" applyFont="1" applyBorder="1"/>
    <xf numFmtId="0" fontId="6" fillId="2" borderId="13" xfId="0" applyFont="1" applyFill="1" applyBorder="1" applyAlignment="1">
      <alignment horizontal="left" vertical="center"/>
    </xf>
    <xf numFmtId="0" fontId="8" fillId="2" borderId="42" xfId="0" applyFont="1" applyFill="1" applyBorder="1" applyAlignment="1">
      <alignment horizontal="center" vertical="center"/>
    </xf>
    <xf numFmtId="0" fontId="6" fillId="0" borderId="42" xfId="0" applyFont="1" applyBorder="1"/>
    <xf numFmtId="0" fontId="6" fillId="0" borderId="61" xfId="0" applyFont="1" applyBorder="1"/>
    <xf numFmtId="0" fontId="8" fillId="2" borderId="42" xfId="0" applyFont="1" applyFill="1" applyBorder="1" applyAlignment="1">
      <alignment horizontal="center" vertical="center" wrapText="1"/>
    </xf>
    <xf numFmtId="0" fontId="8" fillId="2" borderId="60" xfId="0" applyFont="1" applyFill="1" applyBorder="1" applyAlignment="1">
      <alignment horizontal="center" vertical="center" wrapText="1"/>
    </xf>
    <xf numFmtId="0" fontId="8" fillId="2" borderId="61" xfId="0" applyFont="1" applyFill="1" applyBorder="1" applyAlignment="1">
      <alignment horizontal="center" vertical="center" wrapText="1"/>
    </xf>
    <xf numFmtId="0" fontId="8" fillId="2" borderId="52" xfId="0" applyFont="1" applyFill="1" applyBorder="1" applyAlignment="1">
      <alignment horizontal="center" vertical="center"/>
    </xf>
    <xf numFmtId="0" fontId="8" fillId="2" borderId="51" xfId="0" applyFont="1" applyFill="1" applyBorder="1" applyAlignment="1">
      <alignment horizontal="center" vertical="center"/>
    </xf>
    <xf numFmtId="0" fontId="8" fillId="2" borderId="53" xfId="0" applyFont="1" applyFill="1" applyBorder="1" applyAlignment="1">
      <alignment horizontal="center" vertical="center"/>
    </xf>
    <xf numFmtId="0" fontId="8" fillId="2" borderId="60" xfId="0" applyFont="1" applyFill="1" applyBorder="1" applyAlignment="1">
      <alignment horizontal="center" vertical="center"/>
    </xf>
    <xf numFmtId="0" fontId="8" fillId="2" borderId="61" xfId="0" applyFont="1" applyFill="1" applyBorder="1" applyAlignment="1">
      <alignment horizontal="center" vertical="center"/>
    </xf>
    <xf numFmtId="0" fontId="8" fillId="2" borderId="54" xfId="0" applyFont="1" applyFill="1" applyBorder="1" applyAlignment="1">
      <alignment horizontal="center" vertical="center"/>
    </xf>
    <xf numFmtId="0" fontId="8" fillId="2" borderId="55" xfId="0" applyFont="1" applyFill="1" applyBorder="1" applyAlignment="1">
      <alignment horizontal="center" vertical="center"/>
    </xf>
    <xf numFmtId="0" fontId="8" fillId="2" borderId="56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0" fillId="0" borderId="0" xfId="0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5" fillId="3" borderId="10" xfId="0" applyFont="1" applyFill="1" applyBorder="1" applyAlignment="1">
      <alignment horizontal="center" vertical="center"/>
    </xf>
    <xf numFmtId="0" fontId="6" fillId="0" borderId="11" xfId="0" applyFont="1" applyBorder="1"/>
    <xf numFmtId="0" fontId="6" fillId="0" borderId="12" xfId="0" applyFont="1" applyBorder="1"/>
    <xf numFmtId="0" fontId="6" fillId="0" borderId="16" xfId="0" applyFont="1" applyBorder="1"/>
    <xf numFmtId="0" fontId="6" fillId="0" borderId="17" xfId="0" applyFont="1" applyBorder="1"/>
    <xf numFmtId="0" fontId="6" fillId="0" borderId="18" xfId="0" applyFont="1" applyBorder="1"/>
    <xf numFmtId="0" fontId="7" fillId="4" borderId="13" xfId="0" applyFont="1" applyFill="1" applyBorder="1" applyAlignment="1">
      <alignment horizontal="center" vertical="center"/>
    </xf>
    <xf numFmtId="15" fontId="8" fillId="2" borderId="13" xfId="0" applyNumberFormat="1" applyFont="1" applyFill="1" applyBorder="1" applyAlignment="1">
      <alignment horizontal="center"/>
    </xf>
    <xf numFmtId="49" fontId="8" fillId="8" borderId="57" xfId="0" applyNumberFormat="1" applyFont="1" applyFill="1" applyBorder="1" applyAlignment="1">
      <alignment horizontal="center" vertical="center"/>
    </xf>
    <xf numFmtId="0" fontId="8" fillId="8" borderId="58" xfId="0" applyFont="1" applyFill="1" applyBorder="1" applyAlignment="1">
      <alignment horizontal="center" vertical="center"/>
    </xf>
    <xf numFmtId="0" fontId="8" fillId="8" borderId="59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 wrapText="1"/>
    </xf>
    <xf numFmtId="0" fontId="6" fillId="0" borderId="19" xfId="0" applyFont="1" applyBorder="1"/>
    <xf numFmtId="0" fontId="8" fillId="0" borderId="0" xfId="0" applyFont="1"/>
    <xf numFmtId="0" fontId="6" fillId="0" borderId="20" xfId="0" applyFont="1" applyBorder="1"/>
    <xf numFmtId="0" fontId="8" fillId="0" borderId="49" xfId="0" applyFont="1" applyBorder="1" applyAlignment="1">
      <alignment horizontal="left" wrapText="1"/>
    </xf>
    <xf numFmtId="0" fontId="8" fillId="0" borderId="42" xfId="0" applyFont="1" applyBorder="1" applyAlignment="1">
      <alignment horizontal="left" wrapText="1"/>
    </xf>
    <xf numFmtId="0" fontId="8" fillId="0" borderId="50" xfId="0" applyFont="1" applyBorder="1" applyAlignment="1">
      <alignment horizontal="left" wrapText="1"/>
    </xf>
    <xf numFmtId="0" fontId="8" fillId="0" borderId="0" xfId="0" applyFont="1" applyAlignment="1">
      <alignment horizontal="left" vertical="center"/>
    </xf>
    <xf numFmtId="0" fontId="6" fillId="0" borderId="21" xfId="0" applyFont="1" applyBorder="1" applyAlignment="1">
      <alignment horizontal="left" vertical="center" wrapText="1"/>
    </xf>
    <xf numFmtId="0" fontId="6" fillId="0" borderId="48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8" fillId="2" borderId="13" xfId="0" applyFont="1" applyFill="1" applyBorder="1" applyAlignment="1">
      <alignment horizontal="left" vertical="center"/>
    </xf>
    <xf numFmtId="0" fontId="6" fillId="0" borderId="42" xfId="0" applyFont="1" applyBorder="1" applyAlignment="1">
      <alignment horizontal="left" wrapText="1"/>
    </xf>
    <xf numFmtId="0" fontId="15" fillId="0" borderId="13" xfId="0" applyFont="1" applyBorder="1" applyAlignment="1">
      <alignment horizontal="center" wrapText="1"/>
    </xf>
    <xf numFmtId="0" fontId="15" fillId="0" borderId="40" xfId="0" applyFont="1" applyBorder="1" applyAlignment="1">
      <alignment horizontal="center" wrapText="1"/>
    </xf>
    <xf numFmtId="0" fontId="15" fillId="0" borderId="15" xfId="0" applyFont="1" applyBorder="1" applyAlignment="1">
      <alignment horizontal="center" wrapText="1"/>
    </xf>
    <xf numFmtId="0" fontId="6" fillId="0" borderId="42" xfId="0" applyFont="1" applyBorder="1" applyAlignment="1">
      <alignment horizontal="left" vertical="center" wrapText="1"/>
    </xf>
    <xf numFmtId="0" fontId="8" fillId="5" borderId="40" xfId="0" applyFont="1" applyFill="1" applyBorder="1" applyAlignment="1">
      <alignment horizontal="center" vertical="center" wrapText="1"/>
    </xf>
    <xf numFmtId="0" fontId="7" fillId="4" borderId="26" xfId="0" applyFont="1" applyFill="1" applyBorder="1" applyAlignment="1">
      <alignment horizontal="center" vertical="center"/>
    </xf>
    <xf numFmtId="0" fontId="8" fillId="0" borderId="49" xfId="0" applyFont="1" applyBorder="1" applyAlignment="1">
      <alignment horizontal="left" vertical="center" wrapText="1"/>
    </xf>
    <xf numFmtId="0" fontId="8" fillId="0" borderId="42" xfId="0" applyFont="1" applyBorder="1" applyAlignment="1">
      <alignment horizontal="left" vertical="center" wrapText="1"/>
    </xf>
    <xf numFmtId="0" fontId="8" fillId="0" borderId="50" xfId="0" applyFont="1" applyBorder="1" applyAlignment="1">
      <alignment horizontal="left" vertical="center" wrapText="1"/>
    </xf>
    <xf numFmtId="0" fontId="8" fillId="5" borderId="71" xfId="0" applyFont="1" applyFill="1" applyBorder="1" applyAlignment="1">
      <alignment horizontal="center" wrapText="1"/>
    </xf>
    <xf numFmtId="0" fontId="8" fillId="5" borderId="72" xfId="0" applyFont="1" applyFill="1" applyBorder="1" applyAlignment="1">
      <alignment horizontal="center" wrapText="1"/>
    </xf>
    <xf numFmtId="0" fontId="7" fillId="4" borderId="67" xfId="0" applyFont="1" applyFill="1" applyBorder="1" applyAlignment="1">
      <alignment horizontal="center" vertical="center"/>
    </xf>
    <xf numFmtId="0" fontId="6" fillId="0" borderId="68" xfId="0" applyFont="1" applyBorder="1"/>
    <xf numFmtId="0" fontId="6" fillId="0" borderId="69" xfId="0" applyFont="1" applyBorder="1"/>
    <xf numFmtId="0" fontId="16" fillId="0" borderId="49" xfId="0" applyFont="1" applyBorder="1" applyAlignment="1">
      <alignment horizontal="left" wrapText="1"/>
    </xf>
    <xf numFmtId="0" fontId="16" fillId="0" borderId="42" xfId="0" applyFont="1" applyBorder="1" applyAlignment="1">
      <alignment horizontal="left" wrapText="1"/>
    </xf>
    <xf numFmtId="0" fontId="16" fillId="0" borderId="50" xfId="0" applyFont="1" applyBorder="1" applyAlignment="1">
      <alignment horizontal="left" wrapText="1"/>
    </xf>
    <xf numFmtId="0" fontId="8" fillId="2" borderId="73" xfId="0" applyFont="1" applyFill="1" applyBorder="1" applyAlignment="1">
      <alignment horizontal="center" wrapText="1"/>
    </xf>
    <xf numFmtId="0" fontId="8" fillId="2" borderId="74" xfId="0" applyFont="1" applyFill="1" applyBorder="1" applyAlignment="1">
      <alignment horizontal="center" wrapText="1"/>
    </xf>
    <xf numFmtId="0" fontId="8" fillId="2" borderId="75" xfId="0" applyFont="1" applyFill="1" applyBorder="1" applyAlignment="1">
      <alignment horizontal="center"/>
    </xf>
    <xf numFmtId="0" fontId="8" fillId="2" borderId="37" xfId="0" applyFont="1" applyFill="1" applyBorder="1" applyAlignment="1">
      <alignment horizontal="center"/>
    </xf>
    <xf numFmtId="0" fontId="9" fillId="0" borderId="49" xfId="0" applyFont="1" applyBorder="1" applyAlignment="1">
      <alignment horizontal="left" wrapText="1"/>
    </xf>
    <xf numFmtId="0" fontId="9" fillId="0" borderId="42" xfId="0" applyFont="1" applyBorder="1" applyAlignment="1">
      <alignment horizontal="left" wrapText="1"/>
    </xf>
    <xf numFmtId="0" fontId="9" fillId="0" borderId="50" xfId="0" applyFont="1" applyBorder="1" applyAlignment="1">
      <alignment horizontal="left" wrapText="1"/>
    </xf>
    <xf numFmtId="0" fontId="13" fillId="7" borderId="54" xfId="0" applyFont="1" applyFill="1" applyBorder="1" applyAlignment="1">
      <alignment horizontal="center" vertical="center" wrapText="1"/>
    </xf>
    <xf numFmtId="0" fontId="13" fillId="7" borderId="55" xfId="0" applyFont="1" applyFill="1" applyBorder="1" applyAlignment="1">
      <alignment horizontal="center" vertical="center" wrapText="1"/>
    </xf>
    <xf numFmtId="0" fontId="13" fillId="7" borderId="56" xfId="0" applyFont="1" applyFill="1" applyBorder="1" applyAlignment="1">
      <alignment horizontal="center" vertical="center" wrapText="1"/>
    </xf>
    <xf numFmtId="0" fontId="9" fillId="2" borderId="42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wrapText="1"/>
    </xf>
    <xf numFmtId="0" fontId="6" fillId="0" borderId="55" xfId="0" applyFont="1" applyBorder="1" applyAlignment="1">
      <alignment horizontal="center" wrapText="1"/>
    </xf>
    <xf numFmtId="0" fontId="12" fillId="6" borderId="57" xfId="0" applyFont="1" applyFill="1" applyBorder="1" applyAlignment="1">
      <alignment horizontal="center" vertical="center"/>
    </xf>
    <xf numFmtId="0" fontId="12" fillId="6" borderId="76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6" fillId="0" borderId="5" xfId="0" applyFont="1" applyBorder="1"/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6" fillId="0" borderId="9" xfId="0" applyFont="1" applyBorder="1"/>
    <xf numFmtId="15" fontId="8" fillId="2" borderId="13" xfId="0" applyNumberFormat="1" applyFont="1" applyFill="1" applyBorder="1" applyAlignment="1">
      <alignment horizontal="center" vertical="center"/>
    </xf>
    <xf numFmtId="0" fontId="6" fillId="0" borderId="14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49" fontId="8" fillId="8" borderId="13" xfId="0" applyNumberFormat="1" applyFont="1" applyFill="1" applyBorder="1" applyAlignment="1">
      <alignment horizontal="center" vertical="center" wrapText="1"/>
    </xf>
    <xf numFmtId="49" fontId="8" fillId="8" borderId="40" xfId="0" applyNumberFormat="1" applyFont="1" applyFill="1" applyBorder="1" applyAlignment="1">
      <alignment horizontal="center" vertical="center" wrapText="1"/>
    </xf>
    <xf numFmtId="49" fontId="8" fillId="8" borderId="70" xfId="0" applyNumberFormat="1" applyFont="1" applyFill="1" applyBorder="1" applyAlignment="1">
      <alignment horizontal="center" vertical="center" wrapText="1"/>
    </xf>
    <xf numFmtId="0" fontId="8" fillId="8" borderId="52" xfId="0" applyFont="1" applyFill="1" applyBorder="1" applyAlignment="1">
      <alignment horizontal="center" vertical="center" wrapText="1"/>
    </xf>
    <xf numFmtId="0" fontId="8" fillId="8" borderId="51" xfId="0" applyFont="1" applyFill="1" applyBorder="1" applyAlignment="1">
      <alignment horizontal="center" vertical="center" wrapText="1"/>
    </xf>
    <xf numFmtId="0" fontId="8" fillId="8" borderId="53" xfId="0" applyFont="1" applyFill="1" applyBorder="1" applyAlignment="1">
      <alignment horizontal="center" vertical="center" wrapText="1"/>
    </xf>
    <xf numFmtId="0" fontId="8" fillId="8" borderId="60" xfId="0" applyFont="1" applyFill="1" applyBorder="1" applyAlignment="1">
      <alignment horizontal="center" vertical="center" wrapText="1"/>
    </xf>
    <xf numFmtId="0" fontId="8" fillId="8" borderId="0" xfId="0" applyFont="1" applyFill="1" applyAlignment="1">
      <alignment horizontal="center" vertical="center" wrapText="1"/>
    </xf>
    <xf numFmtId="0" fontId="8" fillId="8" borderId="61" xfId="0" applyFont="1" applyFill="1" applyBorder="1" applyAlignment="1">
      <alignment horizontal="center" vertical="center" wrapText="1"/>
    </xf>
    <xf numFmtId="0" fontId="8" fillId="8" borderId="54" xfId="0" applyFont="1" applyFill="1" applyBorder="1" applyAlignment="1">
      <alignment horizontal="center" vertical="center" wrapText="1"/>
    </xf>
    <xf numFmtId="0" fontId="8" fillId="8" borderId="55" xfId="0" applyFont="1" applyFill="1" applyBorder="1" applyAlignment="1">
      <alignment horizontal="center" vertical="center" wrapText="1"/>
    </xf>
    <xf numFmtId="0" fontId="8" fillId="8" borderId="56" xfId="0" applyFont="1" applyFill="1" applyBorder="1" applyAlignment="1">
      <alignment horizontal="center" vertical="center" wrapText="1"/>
    </xf>
    <xf numFmtId="0" fontId="8" fillId="2" borderId="48" xfId="0" applyFont="1" applyFill="1" applyBorder="1" applyAlignment="1">
      <alignment horizontal="center" wrapText="1"/>
    </xf>
    <xf numFmtId="0" fontId="8" fillId="2" borderId="23" xfId="0" applyFont="1" applyFill="1" applyBorder="1" applyAlignment="1">
      <alignment horizontal="center" wrapText="1"/>
    </xf>
    <xf numFmtId="0" fontId="8" fillId="2" borderId="45" xfId="0" applyFont="1" applyFill="1" applyBorder="1" applyAlignment="1">
      <alignment horizontal="center" wrapText="1"/>
    </xf>
    <xf numFmtId="0" fontId="8" fillId="2" borderId="28" xfId="0" applyFont="1" applyFill="1" applyBorder="1" applyAlignment="1">
      <alignment horizontal="center" wrapText="1"/>
    </xf>
    <xf numFmtId="0" fontId="7" fillId="4" borderId="13" xfId="0" applyFont="1" applyFill="1" applyBorder="1" applyAlignment="1">
      <alignment horizontal="center"/>
    </xf>
    <xf numFmtId="0" fontId="8" fillId="9" borderId="42" xfId="0" applyFont="1" applyFill="1" applyBorder="1"/>
    <xf numFmtId="0" fontId="8" fillId="10" borderId="42" xfId="0" applyFont="1" applyFill="1" applyBorder="1"/>
    <xf numFmtId="0" fontId="8" fillId="11" borderId="42" xfId="0" applyFont="1" applyFill="1" applyBorder="1" applyAlignment="1">
      <alignment vertical="center"/>
    </xf>
    <xf numFmtId="0" fontId="8" fillId="12" borderId="42" xfId="0" applyFont="1" applyFill="1" applyBorder="1"/>
    <xf numFmtId="0" fontId="8" fillId="2" borderId="57" xfId="0" applyFont="1" applyFill="1" applyBorder="1" applyAlignment="1">
      <alignment horizontal="center"/>
    </xf>
    <xf numFmtId="0" fontId="8" fillId="2" borderId="58" xfId="0" applyFont="1" applyFill="1" applyBorder="1" applyAlignment="1">
      <alignment horizontal="center"/>
    </xf>
    <xf numFmtId="0" fontId="8" fillId="2" borderId="59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50DEFA"/>
      <color rgb="FF0066FF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7" Type="http://schemas.openxmlformats.org/officeDocument/2006/relationships/image" Target="../media/image8.emf"/><Relationship Id="rId2" Type="http://schemas.openxmlformats.org/officeDocument/2006/relationships/image" Target="../media/image4.png"/><Relationship Id="rId1" Type="http://schemas.openxmlformats.org/officeDocument/2006/relationships/image" Target="../media/image2.png"/><Relationship Id="rId6" Type="http://schemas.openxmlformats.org/officeDocument/2006/relationships/image" Target="../media/image7.jpeg"/><Relationship Id="rId5" Type="http://schemas.openxmlformats.org/officeDocument/2006/relationships/image" Target="../media/image6.jpeg"/><Relationship Id="rId4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242454</xdr:colOff>
      <xdr:row>21</xdr:row>
      <xdr:rowOff>34637</xdr:rowOff>
    </xdr:from>
    <xdr:to>
      <xdr:col>12</xdr:col>
      <xdr:colOff>155864</xdr:colOff>
      <xdr:row>22</xdr:row>
      <xdr:rowOff>173182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1FA5E9DB-B888-456E-8419-94A75180921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t="-5263"/>
        <a:stretch/>
      </xdr:blipFill>
      <xdr:spPr bwMode="auto">
        <a:xfrm>
          <a:off x="7914409" y="4641273"/>
          <a:ext cx="1385455" cy="34636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oneCellAnchor>
    <xdr:from>
      <xdr:col>5</xdr:col>
      <xdr:colOff>142875</xdr:colOff>
      <xdr:row>22</xdr:row>
      <xdr:rowOff>133350</xdr:rowOff>
    </xdr:from>
    <xdr:ext cx="1219200" cy="2190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738517" y="3671220"/>
          <a:ext cx="1214967" cy="21756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800" b="1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0</xdr:col>
      <xdr:colOff>436418</xdr:colOff>
      <xdr:row>0</xdr:row>
      <xdr:rowOff>141555</xdr:rowOff>
    </xdr:from>
    <xdr:ext cx="2352675" cy="852961"/>
    <xdr:pic>
      <xdr:nvPicPr>
        <xdr:cNvPr id="5" name="image1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36418" y="141555"/>
          <a:ext cx="2352675" cy="852961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296333</xdr:colOff>
      <xdr:row>21</xdr:row>
      <xdr:rowOff>25810</xdr:rowOff>
    </xdr:from>
    <xdr:to>
      <xdr:col>3</xdr:col>
      <xdr:colOff>1358239</xdr:colOff>
      <xdr:row>22</xdr:row>
      <xdr:rowOff>170370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1788E02B-2C32-4F54-99C8-278014BDA43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b="-4320"/>
        <a:stretch/>
      </xdr:blipFill>
      <xdr:spPr bwMode="auto">
        <a:xfrm>
          <a:off x="550333" y="4372032"/>
          <a:ext cx="3308861" cy="34211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493871</xdr:colOff>
      <xdr:row>21</xdr:row>
      <xdr:rowOff>63941</xdr:rowOff>
    </xdr:from>
    <xdr:to>
      <xdr:col>9</xdr:col>
      <xdr:colOff>60642</xdr:colOff>
      <xdr:row>23</xdr:row>
      <xdr:rowOff>6095</xdr:rowOff>
    </xdr:to>
    <xdr:pic>
      <xdr:nvPicPr>
        <xdr:cNvPr id="7" name="Picture 1">
          <a:extLst>
            <a:ext uri="{FF2B5EF4-FFF2-40B4-BE49-F238E27FC236}">
              <a16:creationId xmlns:a16="http://schemas.microsoft.com/office/drawing/2014/main" id="{D609A60B-A320-4DD0-AF79-3FBA17529AC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b="-4320"/>
        <a:stretch/>
      </xdr:blipFill>
      <xdr:spPr bwMode="auto">
        <a:xfrm>
          <a:off x="4446746" y="5195535"/>
          <a:ext cx="3162459" cy="34696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536863</xdr:colOff>
      <xdr:row>0</xdr:row>
      <xdr:rowOff>34636</xdr:rowOff>
    </xdr:from>
    <xdr:to>
      <xdr:col>12</xdr:col>
      <xdr:colOff>793088</xdr:colOff>
      <xdr:row>4</xdr:row>
      <xdr:rowOff>183562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8CB84ED9-175F-61CA-6BCC-1E3E72047F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sharpenSoften amount="25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8122227" y="34636"/>
          <a:ext cx="1728270" cy="1066790"/>
        </a:xfrm>
        <a:prstGeom prst="rect">
          <a:avLst/>
        </a:prstGeom>
      </xdr:spPr>
    </xdr:pic>
    <xdr:clientData/>
  </xdr:twoCellAnchor>
  <xdr:twoCellAnchor>
    <xdr:from>
      <xdr:col>4</xdr:col>
      <xdr:colOff>569415</xdr:colOff>
      <xdr:row>20</xdr:row>
      <xdr:rowOff>196832</xdr:rowOff>
    </xdr:from>
    <xdr:to>
      <xdr:col>5</xdr:col>
      <xdr:colOff>413655</xdr:colOff>
      <xdr:row>22</xdr:row>
      <xdr:rowOff>185421</xdr:rowOff>
    </xdr:to>
    <xdr:sp macro="" textlink="">
      <xdr:nvSpPr>
        <xdr:cNvPr id="2" name="Signo de multiplicación 1">
          <a:extLst>
            <a:ext uri="{FF2B5EF4-FFF2-40B4-BE49-F238E27FC236}">
              <a16:creationId xmlns:a16="http://schemas.microsoft.com/office/drawing/2014/main" id="{C78E6848-2794-977E-EB95-EE71720399E4}"/>
            </a:ext>
          </a:extLst>
        </xdr:cNvPr>
        <xdr:cNvSpPr/>
      </xdr:nvSpPr>
      <xdr:spPr>
        <a:xfrm>
          <a:off x="4793072" y="5084517"/>
          <a:ext cx="464726" cy="391361"/>
        </a:xfrm>
        <a:prstGeom prst="mathMultiply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344261</xdr:colOff>
      <xdr:row>0</xdr:row>
      <xdr:rowOff>160564</xdr:rowOff>
    </xdr:from>
    <xdr:ext cx="2352675" cy="852961"/>
    <xdr:pic>
      <xdr:nvPicPr>
        <xdr:cNvPr id="7" name="image1.png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44261" y="160564"/>
          <a:ext cx="2352675" cy="852961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11</xdr:col>
      <xdr:colOff>502558</xdr:colOff>
      <xdr:row>0</xdr:row>
      <xdr:rowOff>163285</xdr:rowOff>
    </xdr:from>
    <xdr:to>
      <xdr:col>12</xdr:col>
      <xdr:colOff>1401537</xdr:colOff>
      <xdr:row>4</xdr:row>
      <xdr:rowOff>243058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62A3BAF-73ED-4787-995E-F6641ED97F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sharpenSoften amount="25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8489951" y="163285"/>
          <a:ext cx="1524907" cy="923416"/>
        </a:xfrm>
        <a:prstGeom prst="rect">
          <a:avLst/>
        </a:prstGeom>
      </xdr:spPr>
    </xdr:pic>
    <xdr:clientData/>
  </xdr:twoCellAnchor>
  <xdr:twoCellAnchor editAs="oneCell">
    <xdr:from>
      <xdr:col>7</xdr:col>
      <xdr:colOff>63500</xdr:colOff>
      <xdr:row>18</xdr:row>
      <xdr:rowOff>135434</xdr:rowOff>
    </xdr:from>
    <xdr:to>
      <xdr:col>12</xdr:col>
      <xdr:colOff>2095192</xdr:colOff>
      <xdr:row>31</xdr:row>
      <xdr:rowOff>63499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DD7D1480-C618-1B95-D2FF-9E132EE326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l="282" r="282"/>
        <a:stretch/>
      </xdr:blipFill>
      <xdr:spPr>
        <a:xfrm>
          <a:off x="5381625" y="4056559"/>
          <a:ext cx="5317817" cy="2404565"/>
        </a:xfrm>
        <a:prstGeom prst="rect">
          <a:avLst/>
        </a:prstGeom>
      </xdr:spPr>
    </xdr:pic>
    <xdr:clientData/>
  </xdr:twoCellAnchor>
  <xdr:twoCellAnchor editAs="oneCell">
    <xdr:from>
      <xdr:col>0</xdr:col>
      <xdr:colOff>171245</xdr:colOff>
      <xdr:row>19</xdr:row>
      <xdr:rowOff>17453</xdr:rowOff>
    </xdr:from>
    <xdr:to>
      <xdr:col>5</xdr:col>
      <xdr:colOff>255932</xdr:colOff>
      <xdr:row>30</xdr:row>
      <xdr:rowOff>174625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54FBEDC-EF0D-4F24-88CF-F829A5D26D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71245" y="4129078"/>
          <a:ext cx="5005937" cy="2252672"/>
        </a:xfrm>
        <a:prstGeom prst="rect">
          <a:avLst/>
        </a:prstGeom>
      </xdr:spPr>
    </xdr:pic>
    <xdr:clientData/>
  </xdr:twoCellAnchor>
  <xdr:twoCellAnchor editAs="oneCell">
    <xdr:from>
      <xdr:col>3</xdr:col>
      <xdr:colOff>449941</xdr:colOff>
      <xdr:row>39</xdr:row>
      <xdr:rowOff>95250</xdr:rowOff>
    </xdr:from>
    <xdr:to>
      <xdr:col>10</xdr:col>
      <xdr:colOff>396746</xdr:colOff>
      <xdr:row>50</xdr:row>
      <xdr:rowOff>173047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9703448-C19B-48EB-AA80-8939A5A775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2688316" y="8048625"/>
          <a:ext cx="4995055" cy="2252672"/>
        </a:xfrm>
        <a:prstGeom prst="rect">
          <a:avLst/>
        </a:prstGeom>
      </xdr:spPr>
    </xdr:pic>
    <xdr:clientData/>
  </xdr:twoCellAnchor>
  <xdr:twoCellAnchor editAs="oneCell">
    <xdr:from>
      <xdr:col>0</xdr:col>
      <xdr:colOff>365125</xdr:colOff>
      <xdr:row>52</xdr:row>
      <xdr:rowOff>111125</xdr:rowOff>
    </xdr:from>
    <xdr:to>
      <xdr:col>9</xdr:col>
      <xdr:colOff>142875</xdr:colOff>
      <xdr:row>60</xdr:row>
      <xdr:rowOff>22083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F7372B5-D560-1FF5-7944-7B7371D41C9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67" t="12008" r="8743" b="35961"/>
        <a:stretch>
          <a:fillRect/>
        </a:stretch>
      </xdr:blipFill>
      <xdr:spPr bwMode="auto">
        <a:xfrm>
          <a:off x="365125" y="10683875"/>
          <a:ext cx="6318250" cy="15937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77"/>
  <sheetViews>
    <sheetView view="pageBreakPreview" topLeftCell="A52" zoomScale="75" zoomScaleNormal="55" zoomScaleSheetLayoutView="75" workbookViewId="0">
      <selection activeCell="A59" sqref="A59:M59"/>
    </sheetView>
  </sheetViews>
  <sheetFormatPr baseColWidth="10" defaultColWidth="14.42578125" defaultRowHeight="15" customHeight="1" x14ac:dyDescent="0.25"/>
  <cols>
    <col min="1" max="1" width="9.28515625" customWidth="1"/>
    <col min="2" max="2" width="11.85546875" customWidth="1"/>
    <col min="3" max="3" width="10.42578125" customWidth="1"/>
    <col min="4" max="4" width="28" customWidth="1"/>
    <col min="5" max="5" width="8.7109375" customWidth="1"/>
    <col min="6" max="6" width="12.5703125" customWidth="1"/>
    <col min="7" max="7" width="11.42578125" customWidth="1"/>
    <col min="8" max="8" width="10" customWidth="1"/>
    <col min="9" max="9" width="11.140625" customWidth="1"/>
    <col min="10" max="11" width="11.5703125" customWidth="1"/>
    <col min="12" max="12" width="10.42578125" customWidth="1"/>
    <col min="13" max="13" width="16.42578125" customWidth="1"/>
    <col min="14" max="25" width="9.28515625" customWidth="1"/>
  </cols>
  <sheetData>
    <row r="1" spans="1:25" x14ac:dyDescent="0.25">
      <c r="A1" s="3"/>
      <c r="B1" s="3"/>
      <c r="C1" s="3"/>
      <c r="D1" s="3"/>
      <c r="E1" s="3"/>
      <c r="F1" s="3"/>
      <c r="G1" s="3"/>
      <c r="H1" s="3"/>
      <c r="I1" s="3"/>
      <c r="J1" s="3"/>
      <c r="K1" s="163"/>
      <c r="L1" s="164"/>
      <c r="M1" s="165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8" customHeight="1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166"/>
      <c r="L2" s="120"/>
      <c r="M2" s="167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21.75" customHeight="1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166"/>
      <c r="L3" s="120"/>
      <c r="M3" s="167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7.25" customHeight="1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168"/>
      <c r="L4" s="169"/>
      <c r="M4" s="170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5.75" thickBot="1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5.75" thickBot="1" x14ac:dyDescent="0.3">
      <c r="A6" s="107" t="s">
        <v>0</v>
      </c>
      <c r="B6" s="108"/>
      <c r="C6" s="108"/>
      <c r="D6" s="109"/>
      <c r="E6" s="113" t="s">
        <v>1</v>
      </c>
      <c r="F6" s="74"/>
      <c r="G6" s="74"/>
      <c r="H6" s="74"/>
      <c r="I6" s="74"/>
      <c r="J6" s="75"/>
      <c r="K6" s="113" t="s">
        <v>2</v>
      </c>
      <c r="L6" s="74"/>
      <c r="M6" s="75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57" customHeight="1" thickBot="1" x14ac:dyDescent="0.3">
      <c r="A7" s="110"/>
      <c r="B7" s="111"/>
      <c r="C7" s="111"/>
      <c r="D7" s="112"/>
      <c r="E7" s="171">
        <v>46221</v>
      </c>
      <c r="F7" s="172"/>
      <c r="G7" s="172"/>
      <c r="H7" s="172"/>
      <c r="I7" s="172"/>
      <c r="J7" s="173"/>
      <c r="K7" s="174"/>
      <c r="L7" s="175"/>
      <c r="M7" s="176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20.65" customHeight="1" thickBot="1" x14ac:dyDescent="0.3">
      <c r="A8" s="83" t="s">
        <v>3</v>
      </c>
      <c r="B8" s="75"/>
      <c r="C8" s="71" t="s">
        <v>48</v>
      </c>
      <c r="D8" s="72"/>
      <c r="E8" s="73" t="s">
        <v>39</v>
      </c>
      <c r="F8" s="74"/>
      <c r="G8" s="74"/>
      <c r="H8" s="74"/>
      <c r="I8" s="74"/>
      <c r="J8" s="74"/>
      <c r="K8" s="74"/>
      <c r="L8" s="74"/>
      <c r="M8" s="75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20.65" customHeight="1" thickBot="1" x14ac:dyDescent="0.3">
      <c r="A9" s="83" t="s">
        <v>4</v>
      </c>
      <c r="B9" s="75"/>
      <c r="C9" s="71" t="s">
        <v>48</v>
      </c>
      <c r="D9" s="72"/>
      <c r="E9" s="177" t="s">
        <v>55</v>
      </c>
      <c r="F9" s="178"/>
      <c r="G9" s="178"/>
      <c r="H9" s="178"/>
      <c r="I9" s="178"/>
      <c r="J9" s="178"/>
      <c r="K9" s="178"/>
      <c r="L9" s="178"/>
      <c r="M9" s="179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20.65" customHeight="1" thickBot="1" x14ac:dyDescent="0.3">
      <c r="A10" s="83" t="s">
        <v>33</v>
      </c>
      <c r="B10" s="75"/>
      <c r="C10" s="71" t="s">
        <v>48</v>
      </c>
      <c r="D10" s="72"/>
      <c r="E10" s="180"/>
      <c r="F10" s="181"/>
      <c r="G10" s="181"/>
      <c r="H10" s="181"/>
      <c r="I10" s="181"/>
      <c r="J10" s="181"/>
      <c r="K10" s="181"/>
      <c r="L10" s="181"/>
      <c r="M10" s="182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27.75" customHeight="1" thickBot="1" x14ac:dyDescent="0.3">
      <c r="A11" s="83" t="s">
        <v>5</v>
      </c>
      <c r="B11" s="75"/>
      <c r="C11" s="76" t="s">
        <v>41</v>
      </c>
      <c r="D11" s="75"/>
      <c r="E11" s="180"/>
      <c r="F11" s="181"/>
      <c r="G11" s="181"/>
      <c r="H11" s="181"/>
      <c r="I11" s="181"/>
      <c r="J11" s="181"/>
      <c r="K11" s="181"/>
      <c r="L11" s="181"/>
      <c r="M11" s="182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20.65" customHeight="1" thickBot="1" x14ac:dyDescent="0.3">
      <c r="A12" s="83" t="s">
        <v>6</v>
      </c>
      <c r="B12" s="75"/>
      <c r="C12" s="76" t="s">
        <v>41</v>
      </c>
      <c r="D12" s="75"/>
      <c r="E12" s="180"/>
      <c r="F12" s="181"/>
      <c r="G12" s="181"/>
      <c r="H12" s="181"/>
      <c r="I12" s="181"/>
      <c r="J12" s="181"/>
      <c r="K12" s="181"/>
      <c r="L12" s="181"/>
      <c r="M12" s="182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20.65" customHeight="1" thickBot="1" x14ac:dyDescent="0.3">
      <c r="A13" s="83" t="s">
        <v>8</v>
      </c>
      <c r="B13" s="75"/>
      <c r="C13" s="77" t="s">
        <v>40</v>
      </c>
      <c r="D13" s="75"/>
      <c r="E13" s="183"/>
      <c r="F13" s="184"/>
      <c r="G13" s="184"/>
      <c r="H13" s="184"/>
      <c r="I13" s="184"/>
      <c r="J13" s="184"/>
      <c r="K13" s="184"/>
      <c r="L13" s="184"/>
      <c r="M13" s="185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9" customHeight="1" thickBot="1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5.75" thickBot="1" x14ac:dyDescent="0.3">
      <c r="A15" s="190" t="s">
        <v>9</v>
      </c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5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5.75" thickBot="1" x14ac:dyDescent="0.3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6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x14ac:dyDescent="0.25">
      <c r="A17" s="56" t="s">
        <v>45</v>
      </c>
      <c r="B17" s="9"/>
      <c r="C17" s="5"/>
      <c r="D17" s="5"/>
      <c r="E17" s="5"/>
      <c r="F17" s="5"/>
      <c r="G17" s="5"/>
      <c r="H17" s="5"/>
      <c r="I17" s="5"/>
      <c r="J17" s="5"/>
      <c r="K17" s="5"/>
      <c r="L17" s="5"/>
      <c r="M17" s="6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x14ac:dyDescent="0.25">
      <c r="A18" s="57"/>
      <c r="B18" s="10"/>
      <c r="C18" s="3"/>
      <c r="D18" s="3"/>
      <c r="E18" s="3"/>
      <c r="F18" s="3"/>
      <c r="G18" s="3"/>
      <c r="H18" s="3"/>
      <c r="I18" s="3"/>
      <c r="J18" s="3"/>
      <c r="K18" s="3"/>
      <c r="L18" s="3"/>
      <c r="M18" s="7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5.75" thickBot="1" x14ac:dyDescent="0.3">
      <c r="A19" s="4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3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9" customHeight="1" thickBot="1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5.75" customHeight="1" thickBot="1" x14ac:dyDescent="0.3">
      <c r="A21" s="113" t="s">
        <v>10</v>
      </c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5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5.75" customHeight="1" x14ac:dyDescent="0.25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186"/>
      <c r="M22" s="187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5.75" customHeight="1" thickBot="1" x14ac:dyDescent="0.3">
      <c r="A23" s="11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88"/>
      <c r="M23" s="189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9" customHeight="1" thickBot="1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5.75" customHeight="1" thickBot="1" x14ac:dyDescent="0.3">
      <c r="A25" s="113" t="s">
        <v>34</v>
      </c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5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20.25" customHeight="1" x14ac:dyDescent="0.25">
      <c r="A26" s="152" t="s">
        <v>50</v>
      </c>
      <c r="B26" s="153"/>
      <c r="C26" s="153"/>
      <c r="D26" s="153"/>
      <c r="E26" s="153"/>
      <c r="F26" s="153"/>
      <c r="G26" s="153"/>
      <c r="H26" s="153"/>
      <c r="I26" s="153"/>
      <c r="J26" s="153"/>
      <c r="K26" s="153"/>
      <c r="L26" s="153"/>
      <c r="M26" s="154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20.25" customHeight="1" x14ac:dyDescent="0.25">
      <c r="A27" s="122" t="s">
        <v>57</v>
      </c>
      <c r="B27" s="123"/>
      <c r="C27" s="123"/>
      <c r="D27" s="123"/>
      <c r="E27" s="123"/>
      <c r="F27" s="123"/>
      <c r="G27" s="123"/>
      <c r="H27" s="123"/>
      <c r="I27" s="123"/>
      <c r="J27" s="123"/>
      <c r="K27" s="123"/>
      <c r="L27" s="123"/>
      <c r="M27" s="124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20.25" customHeight="1" x14ac:dyDescent="0.25">
      <c r="A28" s="122" t="s">
        <v>58</v>
      </c>
      <c r="B28" s="123"/>
      <c r="C28" s="123"/>
      <c r="D28" s="123"/>
      <c r="E28" s="123"/>
      <c r="F28" s="123"/>
      <c r="G28" s="123"/>
      <c r="H28" s="123"/>
      <c r="I28" s="123"/>
      <c r="J28" s="123"/>
      <c r="K28" s="123"/>
      <c r="L28" s="123"/>
      <c r="M28" s="124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20.25" customHeight="1" x14ac:dyDescent="0.25">
      <c r="A29" s="122" t="s">
        <v>59</v>
      </c>
      <c r="B29" s="123"/>
      <c r="C29" s="123"/>
      <c r="D29" s="123"/>
      <c r="E29" s="123"/>
      <c r="F29" s="123"/>
      <c r="G29" s="123"/>
      <c r="H29" s="123"/>
      <c r="I29" s="123"/>
      <c r="J29" s="123"/>
      <c r="K29" s="123"/>
      <c r="L29" s="123"/>
      <c r="M29" s="124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20.25" customHeight="1" x14ac:dyDescent="0.25">
      <c r="A30" s="122" t="s">
        <v>60</v>
      </c>
      <c r="B30" s="123"/>
      <c r="C30" s="123"/>
      <c r="D30" s="123"/>
      <c r="E30" s="123"/>
      <c r="F30" s="123"/>
      <c r="G30" s="123"/>
      <c r="H30" s="123"/>
      <c r="I30" s="123"/>
      <c r="J30" s="123"/>
      <c r="K30" s="123"/>
      <c r="L30" s="123"/>
      <c r="M30" s="124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20.25" customHeight="1" x14ac:dyDescent="0.25">
      <c r="A31" s="122" t="s">
        <v>61</v>
      </c>
      <c r="B31" s="123"/>
      <c r="C31" s="123"/>
      <c r="D31" s="123"/>
      <c r="E31" s="123"/>
      <c r="F31" s="123"/>
      <c r="G31" s="123"/>
      <c r="H31" s="123"/>
      <c r="I31" s="123"/>
      <c r="J31" s="123"/>
      <c r="K31" s="123"/>
      <c r="L31" s="123"/>
      <c r="M31" s="124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20.25" customHeight="1" x14ac:dyDescent="0.25">
      <c r="A32" s="122" t="s">
        <v>62</v>
      </c>
      <c r="B32" s="123"/>
      <c r="C32" s="123"/>
      <c r="D32" s="123"/>
      <c r="E32" s="123"/>
      <c r="F32" s="123"/>
      <c r="G32" s="123"/>
      <c r="H32" s="123"/>
      <c r="I32" s="123"/>
      <c r="J32" s="123"/>
      <c r="K32" s="123"/>
      <c r="L32" s="123"/>
      <c r="M32" s="124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7" ht="20.25" customHeight="1" x14ac:dyDescent="0.25">
      <c r="A33" s="122" t="s">
        <v>63</v>
      </c>
      <c r="B33" s="123"/>
      <c r="C33" s="123"/>
      <c r="D33" s="123"/>
      <c r="E33" s="123"/>
      <c r="F33" s="123"/>
      <c r="G33" s="123"/>
      <c r="H33" s="123"/>
      <c r="I33" s="123"/>
      <c r="J33" s="123"/>
      <c r="K33" s="123"/>
      <c r="L33" s="123"/>
      <c r="M33" s="124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7" ht="20.25" customHeight="1" x14ac:dyDescent="0.25">
      <c r="A34" s="122"/>
      <c r="B34" s="123"/>
      <c r="C34" s="123"/>
      <c r="D34" s="123"/>
      <c r="E34" s="123"/>
      <c r="F34" s="123"/>
      <c r="G34" s="123"/>
      <c r="H34" s="123"/>
      <c r="I34" s="123"/>
      <c r="J34" s="123"/>
      <c r="K34" s="123"/>
      <c r="L34" s="123"/>
      <c r="M34" s="124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7" ht="20.25" customHeight="1" x14ac:dyDescent="0.25">
      <c r="A35" s="122"/>
      <c r="B35" s="123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4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7" ht="20.25" customHeight="1" thickBot="1" x14ac:dyDescent="0.3">
      <c r="A36" s="122"/>
      <c r="B36" s="123"/>
      <c r="C36" s="123"/>
      <c r="D36" s="123"/>
      <c r="E36" s="123"/>
      <c r="F36" s="123"/>
      <c r="G36" s="123"/>
      <c r="H36" s="123"/>
      <c r="I36" s="123"/>
      <c r="J36" s="123"/>
      <c r="K36" s="123"/>
      <c r="L36" s="123"/>
      <c r="M36" s="124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7" ht="32.65" customHeight="1" x14ac:dyDescent="0.25">
      <c r="A37" s="126" t="s">
        <v>56</v>
      </c>
      <c r="B37" s="127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128"/>
      <c r="N37" s="1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44"/>
      <c r="AA37" s="44"/>
    </row>
    <row r="38" spans="1:27" ht="34.5" customHeight="1" thickBot="1" x14ac:dyDescent="0.3">
      <c r="A38" s="145"/>
      <c r="B38" s="146"/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7"/>
      <c r="N38" s="1"/>
      <c r="O38" s="134"/>
      <c r="P38" s="134"/>
      <c r="Q38" s="134"/>
      <c r="R38" s="134"/>
      <c r="S38" s="134"/>
      <c r="T38" s="134"/>
      <c r="U38" s="134"/>
      <c r="V38" s="134"/>
      <c r="W38" s="134"/>
      <c r="X38" s="134"/>
      <c r="Y38" s="134"/>
      <c r="Z38" s="134"/>
      <c r="AA38" s="134"/>
    </row>
    <row r="39" spans="1:27" ht="20.65" customHeight="1" thickBot="1" x14ac:dyDescent="0.3">
      <c r="A39" s="131"/>
      <c r="B39" s="132"/>
      <c r="C39" s="132"/>
      <c r="D39" s="132"/>
      <c r="E39" s="132"/>
      <c r="F39" s="132"/>
      <c r="G39" s="132"/>
      <c r="H39" s="132"/>
      <c r="I39" s="132"/>
      <c r="J39" s="132"/>
      <c r="K39" s="132"/>
      <c r="L39" s="132"/>
      <c r="M39" s="133"/>
      <c r="N39" s="2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</row>
    <row r="40" spans="1:27" ht="15.75" customHeight="1" thickBot="1" x14ac:dyDescent="0.3">
      <c r="A40" s="136" t="s">
        <v>11</v>
      </c>
      <c r="B40" s="82"/>
      <c r="C40" s="82"/>
      <c r="D40" s="82"/>
      <c r="E40" s="74"/>
      <c r="F40" s="74"/>
      <c r="G40" s="74"/>
      <c r="H40" s="74"/>
      <c r="I40" s="74"/>
      <c r="J40" s="74"/>
      <c r="K40" s="74"/>
      <c r="L40" s="74"/>
      <c r="M40" s="75"/>
      <c r="N40" s="1"/>
      <c r="O40" s="130"/>
      <c r="P40" s="130"/>
      <c r="Q40" s="130"/>
      <c r="R40" s="130"/>
      <c r="S40" s="130"/>
      <c r="T40" s="130"/>
      <c r="U40" s="130"/>
      <c r="V40" s="130"/>
      <c r="W40" s="130"/>
      <c r="X40" s="130"/>
      <c r="Y40" s="130"/>
      <c r="Z40" s="130"/>
      <c r="AA40" s="130"/>
    </row>
    <row r="41" spans="1:27" ht="9" customHeight="1" thickBo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1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44"/>
      <c r="AA41" s="44"/>
    </row>
    <row r="42" spans="1:27" ht="39.75" customHeight="1" thickBot="1" x14ac:dyDescent="0.3">
      <c r="A42" s="129" t="s">
        <v>35</v>
      </c>
      <c r="B42" s="75"/>
      <c r="C42" s="14" t="s">
        <v>12</v>
      </c>
      <c r="D42" s="15" t="s">
        <v>13</v>
      </c>
      <c r="E42" s="15" t="s">
        <v>14</v>
      </c>
      <c r="F42" s="16" t="s">
        <v>36</v>
      </c>
      <c r="G42" s="15" t="s">
        <v>15</v>
      </c>
      <c r="H42" s="15" t="s">
        <v>16</v>
      </c>
      <c r="I42" s="15" t="s">
        <v>17</v>
      </c>
      <c r="J42" s="15" t="s">
        <v>38</v>
      </c>
      <c r="K42" s="16" t="s">
        <v>47</v>
      </c>
      <c r="L42" s="17" t="s">
        <v>18</v>
      </c>
      <c r="M42" s="18" t="s">
        <v>19</v>
      </c>
      <c r="N42" s="1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44"/>
      <c r="AA42" s="44"/>
    </row>
    <row r="43" spans="1:27" ht="28.5" customHeight="1" thickBot="1" x14ac:dyDescent="0.3">
      <c r="A43" s="129" t="s">
        <v>20</v>
      </c>
      <c r="B43" s="75"/>
      <c r="C43" s="37">
        <v>0</v>
      </c>
      <c r="D43" s="37">
        <v>1</v>
      </c>
      <c r="E43" s="37">
        <v>1</v>
      </c>
      <c r="F43" s="37">
        <v>1</v>
      </c>
      <c r="G43" s="37">
        <v>1</v>
      </c>
      <c r="H43" s="37">
        <v>3</v>
      </c>
      <c r="I43" s="37">
        <v>2</v>
      </c>
      <c r="J43" s="37">
        <v>0</v>
      </c>
      <c r="K43" s="37">
        <v>0</v>
      </c>
      <c r="L43" s="38"/>
      <c r="M43" s="20">
        <f>C43+D43+E43+F43+G43+H43+I43+J43+K43+L43</f>
        <v>9</v>
      </c>
      <c r="N43" s="1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44"/>
      <c r="AA43" s="44"/>
    </row>
    <row r="44" spans="1:27" ht="28.5" customHeight="1" thickBot="1" x14ac:dyDescent="0.3">
      <c r="A44" s="129" t="s">
        <v>21</v>
      </c>
      <c r="B44" s="75"/>
      <c r="C44" s="39">
        <v>0</v>
      </c>
      <c r="D44" s="39">
        <v>12</v>
      </c>
      <c r="E44" s="39">
        <v>10</v>
      </c>
      <c r="F44" s="39">
        <v>11</v>
      </c>
      <c r="G44" s="39">
        <v>11</v>
      </c>
      <c r="H44" s="39">
        <v>33</v>
      </c>
      <c r="I44" s="39">
        <v>20</v>
      </c>
      <c r="J44" s="39">
        <v>0</v>
      </c>
      <c r="K44" s="39">
        <v>0</v>
      </c>
      <c r="L44" s="40"/>
      <c r="M44" s="22">
        <f>C44+D44+E44+F44+G44+H44+I44+J44+K44+L44</f>
        <v>97</v>
      </c>
      <c r="N44" s="1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44"/>
      <c r="AA44" s="44"/>
    </row>
    <row r="45" spans="1:27" ht="15.7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7" ht="15.75" customHeight="1" thickBot="1" x14ac:dyDescent="0.3">
      <c r="A46" s="3"/>
      <c r="B46" s="3"/>
      <c r="C46" s="3"/>
      <c r="D46" s="3"/>
      <c r="E46" s="3"/>
      <c r="F46" s="3"/>
      <c r="G46" s="3"/>
      <c r="H46" s="3"/>
      <c r="I46" s="3"/>
      <c r="J46" s="23" t="s">
        <v>22</v>
      </c>
      <c r="K46" s="12"/>
      <c r="L46" s="12">
        <f>M44</f>
        <v>97</v>
      </c>
      <c r="M46" s="24" t="s">
        <v>23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7" ht="15.75" customHeight="1" thickBo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7" ht="15.75" customHeight="1" thickBot="1" x14ac:dyDescent="0.3">
      <c r="A48" s="113" t="s">
        <v>24</v>
      </c>
      <c r="B48" s="74"/>
      <c r="C48" s="74"/>
      <c r="D48" s="74"/>
      <c r="E48" s="74"/>
      <c r="F48" s="74"/>
      <c r="G48" s="74"/>
      <c r="H48" s="74"/>
      <c r="I48" s="74"/>
      <c r="J48" s="74"/>
      <c r="K48" s="74"/>
      <c r="L48" s="74"/>
      <c r="M48" s="75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30.75" customHeight="1" thickBot="1" x14ac:dyDescent="0.3">
      <c r="A49" s="129" t="s">
        <v>25</v>
      </c>
      <c r="B49" s="75"/>
      <c r="C49" s="25" t="s">
        <v>49</v>
      </c>
      <c r="D49" s="26" t="s">
        <v>46</v>
      </c>
      <c r="E49" s="64" t="s">
        <v>54</v>
      </c>
      <c r="F49" s="140" t="s">
        <v>43</v>
      </c>
      <c r="G49" s="141"/>
      <c r="H49" s="46" t="s">
        <v>42</v>
      </c>
      <c r="I49" s="45" t="s">
        <v>53</v>
      </c>
      <c r="J49" s="27" t="s">
        <v>44</v>
      </c>
      <c r="K49" s="27"/>
      <c r="L49" s="135"/>
      <c r="M49" s="75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1.75" customHeight="1" thickBot="1" x14ac:dyDescent="0.3">
      <c r="A50" s="129" t="s">
        <v>20</v>
      </c>
      <c r="B50" s="75"/>
      <c r="C50" s="28">
        <v>1</v>
      </c>
      <c r="D50" s="29">
        <v>1</v>
      </c>
      <c r="E50" s="29">
        <v>1</v>
      </c>
      <c r="F50" s="148">
        <v>1</v>
      </c>
      <c r="G50" s="149"/>
      <c r="H50" s="29">
        <v>1</v>
      </c>
      <c r="I50" s="29">
        <v>1</v>
      </c>
      <c r="J50" s="29">
        <v>0</v>
      </c>
      <c r="K50" s="30"/>
      <c r="L50" s="19"/>
      <c r="M50" s="20">
        <f>SUM(C50:L50)</f>
        <v>6</v>
      </c>
      <c r="N50" s="1"/>
      <c r="O50" s="1"/>
      <c r="P50" s="41"/>
      <c r="Q50" s="1"/>
      <c r="R50" s="1"/>
      <c r="S50" s="1"/>
      <c r="T50" s="1"/>
      <c r="U50" s="1"/>
      <c r="V50" s="1"/>
      <c r="W50" s="1"/>
      <c r="X50" s="1"/>
      <c r="Y50" s="1"/>
    </row>
    <row r="51" spans="1:25" ht="22.5" customHeight="1" thickBot="1" x14ac:dyDescent="0.3">
      <c r="A51" s="129" t="s">
        <v>21</v>
      </c>
      <c r="B51" s="75"/>
      <c r="C51" s="31">
        <v>2</v>
      </c>
      <c r="D51" s="32">
        <v>0</v>
      </c>
      <c r="E51" s="32">
        <v>3</v>
      </c>
      <c r="F51" s="150">
        <v>10</v>
      </c>
      <c r="G51" s="151"/>
      <c r="H51" s="32">
        <v>8</v>
      </c>
      <c r="I51" s="32">
        <v>1</v>
      </c>
      <c r="J51" s="32">
        <v>0</v>
      </c>
      <c r="K51" s="33"/>
      <c r="L51" s="21"/>
      <c r="M51" s="22">
        <f>SUM(C51:L51)</f>
        <v>24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.7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.75" customHeight="1" thickBot="1" x14ac:dyDescent="0.3">
      <c r="A53" s="3"/>
      <c r="B53" s="3"/>
      <c r="C53" s="3"/>
      <c r="D53" s="3"/>
      <c r="E53" s="3"/>
      <c r="F53" s="3"/>
      <c r="G53" s="3"/>
      <c r="H53" s="3"/>
      <c r="I53" s="3"/>
      <c r="J53" s="23" t="s">
        <v>26</v>
      </c>
      <c r="K53" s="12"/>
      <c r="L53" s="12">
        <f>M51</f>
        <v>24</v>
      </c>
      <c r="M53" s="24" t="s">
        <v>23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.75" customHeight="1" thickBo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.75" customHeight="1" thickBot="1" x14ac:dyDescent="0.3">
      <c r="A55" s="142" t="s">
        <v>27</v>
      </c>
      <c r="B55" s="143"/>
      <c r="C55" s="143"/>
      <c r="D55" s="143"/>
      <c r="E55" s="143"/>
      <c r="F55" s="143"/>
      <c r="G55" s="143"/>
      <c r="H55" s="143"/>
      <c r="I55" s="143"/>
      <c r="J55" s="143"/>
      <c r="K55" s="143"/>
      <c r="L55" s="143"/>
      <c r="M55" s="144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20.25" customHeight="1" x14ac:dyDescent="0.25">
      <c r="A56" s="152" t="s">
        <v>50</v>
      </c>
      <c r="B56" s="153"/>
      <c r="C56" s="153"/>
      <c r="D56" s="153"/>
      <c r="E56" s="153"/>
      <c r="F56" s="153"/>
      <c r="G56" s="153"/>
      <c r="H56" s="153"/>
      <c r="I56" s="153"/>
      <c r="J56" s="153"/>
      <c r="K56" s="153"/>
      <c r="L56" s="153"/>
      <c r="M56" s="154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20.25" customHeight="1" x14ac:dyDescent="0.25">
      <c r="A57" s="122" t="s">
        <v>64</v>
      </c>
      <c r="B57" s="123"/>
      <c r="C57" s="123"/>
      <c r="D57" s="123"/>
      <c r="E57" s="123"/>
      <c r="F57" s="123"/>
      <c r="G57" s="123"/>
      <c r="H57" s="123"/>
      <c r="I57" s="123"/>
      <c r="J57" s="123"/>
      <c r="K57" s="123"/>
      <c r="L57" s="123"/>
      <c r="M57" s="124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20.25" customHeight="1" x14ac:dyDescent="0.25">
      <c r="A58" s="122" t="s">
        <v>65</v>
      </c>
      <c r="B58" s="123"/>
      <c r="C58" s="123"/>
      <c r="D58" s="123"/>
      <c r="E58" s="123"/>
      <c r="F58" s="123"/>
      <c r="G58" s="123"/>
      <c r="H58" s="123"/>
      <c r="I58" s="123"/>
      <c r="J58" s="123"/>
      <c r="K58" s="123"/>
      <c r="L58" s="123"/>
      <c r="M58" s="124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20.25" customHeight="1" x14ac:dyDescent="0.25">
      <c r="A59" s="122"/>
      <c r="B59" s="123"/>
      <c r="C59" s="123"/>
      <c r="D59" s="123"/>
      <c r="E59" s="123"/>
      <c r="F59" s="123"/>
      <c r="G59" s="123"/>
      <c r="H59" s="123"/>
      <c r="I59" s="123"/>
      <c r="J59" s="123"/>
      <c r="K59" s="123"/>
      <c r="L59" s="123"/>
      <c r="M59" s="124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20.25" customHeight="1" x14ac:dyDescent="0.25">
      <c r="A60" s="122"/>
      <c r="B60" s="123"/>
      <c r="C60" s="123"/>
      <c r="D60" s="123"/>
      <c r="E60" s="123"/>
      <c r="F60" s="123"/>
      <c r="G60" s="123"/>
      <c r="H60" s="123"/>
      <c r="I60" s="123"/>
      <c r="J60" s="123"/>
      <c r="K60" s="123"/>
      <c r="L60" s="123"/>
      <c r="M60" s="124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20.25" customHeight="1" x14ac:dyDescent="0.25">
      <c r="A61" s="122"/>
      <c r="B61" s="123"/>
      <c r="C61" s="123"/>
      <c r="D61" s="123"/>
      <c r="E61" s="123"/>
      <c r="F61" s="123"/>
      <c r="G61" s="123"/>
      <c r="H61" s="123"/>
      <c r="I61" s="123"/>
      <c r="J61" s="123"/>
      <c r="K61" s="123"/>
      <c r="L61" s="123"/>
      <c r="M61" s="124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20.25" customHeight="1" x14ac:dyDescent="0.25">
      <c r="A62" s="122"/>
      <c r="B62" s="123"/>
      <c r="C62" s="123"/>
      <c r="D62" s="123"/>
      <c r="E62" s="123"/>
      <c r="F62" s="123"/>
      <c r="G62" s="123"/>
      <c r="H62" s="123"/>
      <c r="I62" s="123"/>
      <c r="J62" s="123"/>
      <c r="K62" s="123"/>
      <c r="L62" s="123"/>
      <c r="M62" s="124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20.25" customHeight="1" x14ac:dyDescent="0.25">
      <c r="A63" s="122"/>
      <c r="B63" s="123"/>
      <c r="C63" s="123"/>
      <c r="D63" s="123"/>
      <c r="E63" s="123"/>
      <c r="F63" s="123"/>
      <c r="G63" s="123"/>
      <c r="H63" s="123"/>
      <c r="I63" s="123"/>
      <c r="J63" s="123"/>
      <c r="K63" s="123"/>
      <c r="L63" s="123"/>
      <c r="M63" s="124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20.25" customHeight="1" x14ac:dyDescent="0.25">
      <c r="A64" s="125"/>
      <c r="B64" s="125"/>
      <c r="C64" s="125"/>
      <c r="D64" s="125"/>
      <c r="E64" s="125"/>
      <c r="F64" s="125"/>
      <c r="G64" s="125"/>
      <c r="H64" s="125"/>
      <c r="I64" s="125"/>
      <c r="J64" s="125"/>
      <c r="K64" s="125"/>
      <c r="L64" s="125"/>
      <c r="M64" s="125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20.25" customHeight="1" thickBot="1" x14ac:dyDescent="0.3">
      <c r="A65" s="137"/>
      <c r="B65" s="138"/>
      <c r="C65" s="138"/>
      <c r="D65" s="138"/>
      <c r="E65" s="138"/>
      <c r="F65" s="138"/>
      <c r="G65" s="138"/>
      <c r="H65" s="138"/>
      <c r="I65" s="138"/>
      <c r="J65" s="138"/>
      <c r="K65" s="138"/>
      <c r="L65" s="138"/>
      <c r="M65" s="139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32.25" customHeight="1" thickBot="1" x14ac:dyDescent="0.3">
      <c r="A66" s="159" t="s">
        <v>51</v>
      </c>
      <c r="B66" s="160"/>
      <c r="C66" s="160"/>
      <c r="D66" s="160"/>
      <c r="E66" s="160"/>
      <c r="F66" s="161" t="s">
        <v>28</v>
      </c>
      <c r="G66" s="162"/>
      <c r="H66" s="55"/>
      <c r="I66" s="159" t="s">
        <v>52</v>
      </c>
      <c r="J66" s="160"/>
      <c r="K66" s="160"/>
      <c r="L66" s="160"/>
      <c r="M66" s="160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52.5" customHeight="1" thickBot="1" x14ac:dyDescent="0.3">
      <c r="A67" s="158" t="s">
        <v>29</v>
      </c>
      <c r="B67" s="85"/>
      <c r="C67" s="85"/>
      <c r="D67" s="85"/>
      <c r="E67" s="85"/>
      <c r="F67" s="155" t="s">
        <v>30</v>
      </c>
      <c r="G67" s="156"/>
      <c r="H67" s="157"/>
      <c r="I67" s="158" t="s">
        <v>31</v>
      </c>
      <c r="J67" s="85"/>
      <c r="K67" s="85"/>
      <c r="L67" s="85"/>
      <c r="M67" s="85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.7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.75" customHeight="1" x14ac:dyDescent="0.25">
      <c r="A69" s="8" t="s">
        <v>32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.7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5.7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</sheetData>
  <mergeCells count="69">
    <mergeCell ref="A28:M28"/>
    <mergeCell ref="A21:M21"/>
    <mergeCell ref="A25:M25"/>
    <mergeCell ref="L22:M23"/>
    <mergeCell ref="A15:M15"/>
    <mergeCell ref="A27:M27"/>
    <mergeCell ref="A26:M26"/>
    <mergeCell ref="A8:B8"/>
    <mergeCell ref="C8:D8"/>
    <mergeCell ref="E8:M8"/>
    <mergeCell ref="E9:M13"/>
    <mergeCell ref="C10:D10"/>
    <mergeCell ref="C11:D11"/>
    <mergeCell ref="A9:B9"/>
    <mergeCell ref="C9:D9"/>
    <mergeCell ref="A10:B10"/>
    <mergeCell ref="A11:B11"/>
    <mergeCell ref="A12:B12"/>
    <mergeCell ref="C12:D12"/>
    <mergeCell ref="C13:D13"/>
    <mergeCell ref="A13:B13"/>
    <mergeCell ref="K1:M4"/>
    <mergeCell ref="A6:D7"/>
    <mergeCell ref="E6:J6"/>
    <mergeCell ref="K6:M6"/>
    <mergeCell ref="E7:J7"/>
    <mergeCell ref="K7:M7"/>
    <mergeCell ref="F67:H67"/>
    <mergeCell ref="I67:M67"/>
    <mergeCell ref="A66:E66"/>
    <mergeCell ref="F66:G66"/>
    <mergeCell ref="I66:M66"/>
    <mergeCell ref="A67:E67"/>
    <mergeCell ref="A65:M65"/>
    <mergeCell ref="A36:M36"/>
    <mergeCell ref="A29:M29"/>
    <mergeCell ref="F49:G49"/>
    <mergeCell ref="A31:M31"/>
    <mergeCell ref="A35:M35"/>
    <mergeCell ref="A51:B51"/>
    <mergeCell ref="A55:M55"/>
    <mergeCell ref="A38:M38"/>
    <mergeCell ref="F50:G50"/>
    <mergeCell ref="F51:G51"/>
    <mergeCell ref="A30:M30"/>
    <mergeCell ref="A56:M56"/>
    <mergeCell ref="A57:M57"/>
    <mergeCell ref="A58:M58"/>
    <mergeCell ref="A59:M59"/>
    <mergeCell ref="O40:AA40"/>
    <mergeCell ref="A39:M39"/>
    <mergeCell ref="O38:AA38"/>
    <mergeCell ref="A49:B49"/>
    <mergeCell ref="L49:M49"/>
    <mergeCell ref="A40:M40"/>
    <mergeCell ref="A43:B43"/>
    <mergeCell ref="A44:B44"/>
    <mergeCell ref="A48:M48"/>
    <mergeCell ref="A62:M62"/>
    <mergeCell ref="A63:M63"/>
    <mergeCell ref="A64:M64"/>
    <mergeCell ref="A32:M32"/>
    <mergeCell ref="A33:M33"/>
    <mergeCell ref="A34:M34"/>
    <mergeCell ref="A37:M37"/>
    <mergeCell ref="A42:B42"/>
    <mergeCell ref="A50:B50"/>
    <mergeCell ref="A60:M60"/>
    <mergeCell ref="A61:M61"/>
  </mergeCells>
  <printOptions horizontalCentered="1"/>
  <pageMargins left="0.23622047244094491" right="0.23622047244094491" top="0.15748031496062992" bottom="0.15748031496062992" header="0.31496062992125984" footer="0.31496062992125984"/>
  <pageSetup scale="5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69"/>
  <sheetViews>
    <sheetView tabSelected="1" view="pageBreakPreview" topLeftCell="A29" zoomScale="60" zoomScaleNormal="80" zoomScalePageLayoutView="50" workbookViewId="0">
      <selection activeCell="A40" sqref="A40:XFD61"/>
    </sheetView>
  </sheetViews>
  <sheetFormatPr baseColWidth="10" defaultColWidth="14.42578125" defaultRowHeight="15" customHeight="1" x14ac:dyDescent="0.25"/>
  <cols>
    <col min="1" max="1" width="9.28515625" customWidth="1"/>
    <col min="2" max="2" width="12.7109375" customWidth="1"/>
    <col min="3" max="3" width="11.5703125" customWidth="1"/>
    <col min="4" max="4" width="26.42578125" customWidth="1"/>
    <col min="5" max="5" width="13.7109375" customWidth="1"/>
    <col min="6" max="6" width="4.5703125" customWidth="1"/>
    <col min="7" max="7" width="1.42578125" customWidth="1"/>
    <col min="8" max="8" width="10" customWidth="1"/>
    <col min="9" max="9" width="8.42578125" customWidth="1"/>
    <col min="10" max="10" width="11.140625" customWidth="1"/>
    <col min="11" max="11" width="10.42578125" customWidth="1"/>
    <col min="12" max="12" width="9.28515625" customWidth="1"/>
    <col min="13" max="13" width="32.42578125" customWidth="1"/>
    <col min="14" max="25" width="9.28515625" customWidth="1"/>
  </cols>
  <sheetData>
    <row r="1" spans="1:25" ht="21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98"/>
      <c r="L1" s="99"/>
      <c r="M1" s="100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01"/>
      <c r="L2" s="102"/>
      <c r="M2" s="10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01"/>
      <c r="L3" s="102"/>
      <c r="M3" s="10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04"/>
      <c r="L4" s="105"/>
      <c r="M4" s="106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21.75" customHeight="1" thickBo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5.75" customHeight="1" thickBot="1" x14ac:dyDescent="0.3">
      <c r="A6" s="107" t="s">
        <v>0</v>
      </c>
      <c r="B6" s="108"/>
      <c r="C6" s="108"/>
      <c r="D6" s="109"/>
      <c r="E6" s="113" t="s">
        <v>1</v>
      </c>
      <c r="F6" s="74"/>
      <c r="G6" s="74"/>
      <c r="H6" s="74"/>
      <c r="I6" s="74"/>
      <c r="J6" s="75"/>
      <c r="K6" s="113" t="s">
        <v>2</v>
      </c>
      <c r="L6" s="74"/>
      <c r="M6" s="75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5.75" customHeight="1" thickBot="1" x14ac:dyDescent="0.3">
      <c r="A7" s="110"/>
      <c r="B7" s="111"/>
      <c r="C7" s="111"/>
      <c r="D7" s="112"/>
      <c r="E7" s="114">
        <f>INFO!E7</f>
        <v>46221</v>
      </c>
      <c r="F7" s="74"/>
      <c r="G7" s="74"/>
      <c r="H7" s="74"/>
      <c r="I7" s="74"/>
      <c r="J7" s="75"/>
      <c r="K7" s="115">
        <f>INFO!K7</f>
        <v>0</v>
      </c>
      <c r="L7" s="116"/>
      <c r="M7" s="117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23.25" customHeight="1" thickBot="1" x14ac:dyDescent="0.3">
      <c r="A8" s="83" t="s">
        <v>3</v>
      </c>
      <c r="B8" s="75"/>
      <c r="C8" s="71" t="str">
        <f>INFO!$C$8</f>
        <v>CONSTRUCCION / PROCESOS</v>
      </c>
      <c r="D8" s="72"/>
      <c r="E8" s="73" t="str">
        <f>INFO!E8</f>
        <v>DESCRIPCIÓN DE ALCANCE DE CONTRATO.</v>
      </c>
      <c r="F8" s="74"/>
      <c r="G8" s="74"/>
      <c r="H8" s="74"/>
      <c r="I8" s="74"/>
      <c r="J8" s="74"/>
      <c r="K8" s="74"/>
      <c r="L8" s="74"/>
      <c r="M8" s="75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5.75" customHeight="1" thickBot="1" x14ac:dyDescent="0.3">
      <c r="A9" s="83" t="s">
        <v>4</v>
      </c>
      <c r="B9" s="75"/>
      <c r="C9" s="71" t="str">
        <f>INFO!$C$9</f>
        <v>CONSTRUCCION / PROCESOS</v>
      </c>
      <c r="D9" s="72"/>
      <c r="E9" s="118" t="str">
        <f>INFO!E9</f>
        <v>OVERLAND 4</v>
      </c>
      <c r="F9" s="108"/>
      <c r="G9" s="108"/>
      <c r="H9" s="108"/>
      <c r="I9" s="108"/>
      <c r="J9" s="108"/>
      <c r="K9" s="108"/>
      <c r="L9" s="108"/>
      <c r="M9" s="109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8.75" customHeight="1" thickBot="1" x14ac:dyDescent="0.3">
      <c r="A10" s="83" t="s">
        <v>33</v>
      </c>
      <c r="B10" s="75"/>
      <c r="C10" s="71" t="str">
        <f>INFO!$C$10</f>
        <v>CONSTRUCCION / PROCESOS</v>
      </c>
      <c r="D10" s="72"/>
      <c r="E10" s="119"/>
      <c r="F10" s="120"/>
      <c r="G10" s="120"/>
      <c r="H10" s="120"/>
      <c r="I10" s="120"/>
      <c r="J10" s="120"/>
      <c r="K10" s="120"/>
      <c r="L10" s="120"/>
      <c r="M10" s="12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5" customHeight="1" thickBot="1" x14ac:dyDescent="0.3">
      <c r="A11" s="83" t="s">
        <v>5</v>
      </c>
      <c r="B11" s="75"/>
      <c r="C11" s="76" t="str">
        <f>INFO!$C$11</f>
        <v>Obra civil / Mtto</v>
      </c>
      <c r="D11" s="75"/>
      <c r="E11" s="119"/>
      <c r="F11" s="120"/>
      <c r="G11" s="120"/>
      <c r="H11" s="120"/>
      <c r="I11" s="120"/>
      <c r="J11" s="120"/>
      <c r="K11" s="120"/>
      <c r="L11" s="120"/>
      <c r="M11" s="12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8.75" customHeight="1" thickBot="1" x14ac:dyDescent="0.3">
      <c r="A12" s="83" t="s">
        <v>6</v>
      </c>
      <c r="B12" s="75"/>
      <c r="C12" s="76" t="s">
        <v>7</v>
      </c>
      <c r="D12" s="75"/>
      <c r="E12" s="119"/>
      <c r="F12" s="120"/>
      <c r="G12" s="120"/>
      <c r="H12" s="120"/>
      <c r="I12" s="120"/>
      <c r="J12" s="120"/>
      <c r="K12" s="120"/>
      <c r="L12" s="120"/>
      <c r="M12" s="12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20.25" customHeight="1" thickBot="1" x14ac:dyDescent="0.3">
      <c r="A13" s="83" t="s">
        <v>8</v>
      </c>
      <c r="B13" s="75"/>
      <c r="C13" s="77" t="str">
        <f>INFO!C13</f>
        <v>Ing. Jose Rafael Soto Molina</v>
      </c>
      <c r="D13" s="75"/>
      <c r="E13" s="110"/>
      <c r="F13" s="111"/>
      <c r="G13" s="111"/>
      <c r="H13" s="111"/>
      <c r="I13" s="111"/>
      <c r="J13" s="111"/>
      <c r="K13" s="111"/>
      <c r="L13" s="111"/>
      <c r="M13" s="112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5.75" thickBot="1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x14ac:dyDescent="0.25">
      <c r="A15" s="78" t="s">
        <v>37</v>
      </c>
      <c r="B15" s="70"/>
      <c r="C15" s="70"/>
      <c r="D15" s="70"/>
      <c r="E15" s="70"/>
      <c r="F15" s="70"/>
      <c r="G15" s="70"/>
      <c r="H15" s="70"/>
      <c r="I15" s="70"/>
      <c r="J15" s="70"/>
      <c r="K15" s="70"/>
      <c r="L15" s="70"/>
      <c r="M15" s="79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x14ac:dyDescent="0.25">
      <c r="A16" s="59"/>
      <c r="B16" s="60"/>
      <c r="C16" s="60"/>
      <c r="D16" s="60"/>
      <c r="E16" s="60"/>
      <c r="F16" s="61"/>
      <c r="G16" s="60"/>
      <c r="H16" s="59"/>
      <c r="I16" s="60"/>
      <c r="J16" s="60"/>
      <c r="K16" s="60"/>
      <c r="L16" s="60"/>
      <c r="M16" s="6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x14ac:dyDescent="0.25">
      <c r="A17" s="35"/>
      <c r="B17" s="34"/>
      <c r="C17" s="34"/>
      <c r="D17" s="34"/>
      <c r="E17" s="34"/>
      <c r="F17" s="36"/>
      <c r="G17" s="34"/>
      <c r="H17" s="35"/>
      <c r="I17" s="34"/>
      <c r="J17" s="34"/>
      <c r="K17" s="34"/>
      <c r="L17" s="34"/>
      <c r="M17" s="36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x14ac:dyDescent="0.25">
      <c r="A18" s="35"/>
      <c r="B18" s="34"/>
      <c r="C18" s="34"/>
      <c r="D18" s="34"/>
      <c r="E18" s="34"/>
      <c r="F18" s="36"/>
      <c r="G18" s="34"/>
      <c r="H18" s="35"/>
      <c r="I18" s="34"/>
      <c r="J18" s="34"/>
      <c r="K18" s="34"/>
      <c r="L18" s="34"/>
      <c r="M18" s="36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x14ac:dyDescent="0.25">
      <c r="A19" s="35"/>
      <c r="B19" s="34"/>
      <c r="C19" s="34"/>
      <c r="D19" s="34"/>
      <c r="E19" s="34"/>
      <c r="F19" s="36"/>
      <c r="G19" s="34"/>
      <c r="H19" s="35"/>
      <c r="I19" s="34"/>
      <c r="J19" s="34"/>
      <c r="K19" s="34"/>
      <c r="L19" s="34"/>
      <c r="M19" s="36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x14ac:dyDescent="0.25">
      <c r="A20" s="62"/>
      <c r="B20" s="47"/>
      <c r="C20" s="47"/>
      <c r="D20" s="47"/>
      <c r="E20" s="47"/>
      <c r="F20" s="63"/>
      <c r="G20" s="47"/>
      <c r="H20" s="62"/>
      <c r="I20" s="47"/>
      <c r="J20" s="47"/>
      <c r="K20" s="47"/>
      <c r="L20" s="47"/>
      <c r="M20" s="63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x14ac:dyDescent="0.25">
      <c r="A21" s="35"/>
      <c r="B21" s="34"/>
      <c r="C21" s="34"/>
      <c r="D21" s="34"/>
      <c r="E21" s="34"/>
      <c r="F21" s="36"/>
      <c r="G21" s="34"/>
      <c r="H21" s="35"/>
      <c r="I21" s="34"/>
      <c r="J21" s="34"/>
      <c r="K21" s="34"/>
      <c r="L21" s="34"/>
      <c r="M21" s="36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x14ac:dyDescent="0.25">
      <c r="A22" s="35"/>
      <c r="B22" s="34"/>
      <c r="C22" s="34"/>
      <c r="D22" s="34"/>
      <c r="E22" s="34"/>
      <c r="F22" s="36"/>
      <c r="G22" s="34"/>
      <c r="H22" s="35"/>
      <c r="I22" s="34"/>
      <c r="J22" s="34"/>
      <c r="K22" s="34"/>
      <c r="L22" s="34"/>
      <c r="M22" s="36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x14ac:dyDescent="0.25">
      <c r="A23" s="35"/>
      <c r="B23" s="34"/>
      <c r="C23" s="34"/>
      <c r="D23" s="34"/>
      <c r="E23" s="34"/>
      <c r="F23" s="36"/>
      <c r="G23" s="34"/>
      <c r="H23" s="35"/>
      <c r="I23" s="34"/>
      <c r="J23" s="34"/>
      <c r="K23" s="34"/>
      <c r="L23" s="34"/>
      <c r="M23" s="36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x14ac:dyDescent="0.25">
      <c r="A24" s="35"/>
      <c r="B24" s="34"/>
      <c r="C24" s="34"/>
      <c r="D24" s="34"/>
      <c r="E24" s="34"/>
      <c r="F24" s="36"/>
      <c r="G24" s="34"/>
      <c r="H24" s="35"/>
      <c r="I24" s="34"/>
      <c r="J24" s="34"/>
      <c r="K24" s="34"/>
      <c r="L24" s="34"/>
      <c r="M24" s="36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x14ac:dyDescent="0.25">
      <c r="A25" s="35"/>
      <c r="B25" s="34"/>
      <c r="C25" s="34"/>
      <c r="D25" s="44"/>
      <c r="E25" s="34"/>
      <c r="F25" s="36"/>
      <c r="G25" s="34"/>
      <c r="H25" s="35"/>
      <c r="I25" s="34"/>
      <c r="J25" s="34"/>
      <c r="K25" s="34"/>
      <c r="L25" s="34"/>
      <c r="M25" s="36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x14ac:dyDescent="0.25">
      <c r="A26" s="35"/>
      <c r="B26" s="34"/>
      <c r="C26" s="34"/>
      <c r="D26" s="34"/>
      <c r="E26" s="44"/>
      <c r="F26" s="36"/>
      <c r="G26" s="34"/>
      <c r="H26" s="35"/>
      <c r="I26" s="34"/>
      <c r="J26" s="34"/>
      <c r="K26" s="34"/>
      <c r="L26" s="34"/>
      <c r="M26" s="36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x14ac:dyDescent="0.25">
      <c r="A27" s="35"/>
      <c r="B27" s="34"/>
      <c r="C27" s="34"/>
      <c r="D27" s="34"/>
      <c r="E27" s="34"/>
      <c r="F27" s="36"/>
      <c r="G27" s="34"/>
      <c r="H27" s="35"/>
      <c r="I27" s="34"/>
      <c r="J27" s="34"/>
      <c r="K27" s="34"/>
      <c r="L27" s="34"/>
      <c r="M27" s="36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x14ac:dyDescent="0.25">
      <c r="A28" s="35"/>
      <c r="B28" s="34"/>
      <c r="C28" s="34"/>
      <c r="D28" s="34"/>
      <c r="E28" s="34"/>
      <c r="F28" s="36"/>
      <c r="G28" s="34"/>
      <c r="H28" s="35"/>
      <c r="I28" s="34"/>
      <c r="J28" s="34"/>
      <c r="K28" s="34"/>
      <c r="L28" s="34"/>
      <c r="M28" s="36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x14ac:dyDescent="0.25">
      <c r="A29" s="35"/>
      <c r="B29" s="34"/>
      <c r="C29" s="34"/>
      <c r="D29" s="44"/>
      <c r="E29" s="34"/>
      <c r="F29" s="36"/>
      <c r="G29" s="34"/>
      <c r="H29" s="35"/>
      <c r="I29" s="34"/>
      <c r="J29" s="34"/>
      <c r="K29" s="34"/>
      <c r="L29" s="34"/>
      <c r="M29" s="36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x14ac:dyDescent="0.25">
      <c r="A30" s="35"/>
      <c r="B30" s="34"/>
      <c r="C30" s="34"/>
      <c r="D30" s="34"/>
      <c r="E30" s="34"/>
      <c r="F30" s="36"/>
      <c r="G30" s="34"/>
      <c r="H30" s="35"/>
      <c r="I30" s="34"/>
      <c r="J30" s="34"/>
      <c r="K30" s="34"/>
      <c r="L30" s="34"/>
      <c r="M30" s="36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x14ac:dyDescent="0.25">
      <c r="A31" s="35"/>
      <c r="B31" s="34"/>
      <c r="C31" s="34"/>
      <c r="D31" s="34"/>
      <c r="E31" s="34"/>
      <c r="F31" s="36"/>
      <c r="G31" s="34"/>
      <c r="H31" s="35"/>
      <c r="I31" s="34"/>
      <c r="J31" s="34"/>
      <c r="K31" s="34"/>
      <c r="L31" s="34"/>
      <c r="M31" s="36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x14ac:dyDescent="0.25">
      <c r="A32" s="62"/>
      <c r="B32" s="47"/>
      <c r="C32" s="47"/>
      <c r="D32" s="47"/>
      <c r="E32" s="47"/>
      <c r="F32" s="63"/>
      <c r="G32" s="47"/>
      <c r="H32" s="62"/>
      <c r="I32" s="47"/>
      <c r="J32" s="47"/>
      <c r="K32" s="47"/>
      <c r="L32" s="47"/>
      <c r="M32" s="63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x14ac:dyDescent="0.25">
      <c r="A33" s="35"/>
      <c r="B33" s="34"/>
      <c r="C33" s="34"/>
      <c r="D33" s="44"/>
      <c r="E33" s="34"/>
      <c r="F33" s="36"/>
      <c r="G33" s="34"/>
      <c r="H33" s="35"/>
      <c r="I33" s="34"/>
      <c r="J33" s="34"/>
      <c r="K33" s="34"/>
      <c r="L33" s="34"/>
      <c r="M33" s="36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x14ac:dyDescent="0.25">
      <c r="A34" s="35"/>
      <c r="B34" s="34"/>
      <c r="C34" s="34"/>
      <c r="D34" s="44"/>
      <c r="E34" s="34"/>
      <c r="F34" s="36"/>
      <c r="G34" s="34"/>
      <c r="H34" s="35"/>
      <c r="I34" s="34"/>
      <c r="J34" s="34"/>
      <c r="K34" s="34"/>
      <c r="L34" s="34"/>
      <c r="M34" s="36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x14ac:dyDescent="0.25">
      <c r="A35" s="35"/>
      <c r="B35" s="34"/>
      <c r="C35" s="34"/>
      <c r="D35" s="44"/>
      <c r="E35" s="34"/>
      <c r="F35" s="36"/>
      <c r="G35" s="34"/>
      <c r="H35" s="35"/>
      <c r="I35" s="34"/>
      <c r="J35" s="34"/>
      <c r="K35" s="34"/>
      <c r="L35" s="34"/>
      <c r="M35" s="36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thickBot="1" x14ac:dyDescent="0.3">
      <c r="A36" s="35"/>
      <c r="B36" s="34"/>
      <c r="C36" s="34"/>
      <c r="D36" s="44"/>
      <c r="E36" s="34"/>
      <c r="F36" s="36"/>
      <c r="G36" s="34"/>
      <c r="H36" s="35"/>
      <c r="I36" s="34"/>
      <c r="J36" s="34"/>
      <c r="K36" s="34"/>
      <c r="L36" s="34"/>
      <c r="M36" s="36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x14ac:dyDescent="0.25">
      <c r="A37" s="90" t="s">
        <v>66</v>
      </c>
      <c r="B37" s="91"/>
      <c r="C37" s="91"/>
      <c r="D37" s="91"/>
      <c r="E37" s="91"/>
      <c r="F37" s="92"/>
      <c r="G37" s="34"/>
      <c r="H37" s="90" t="s">
        <v>67</v>
      </c>
      <c r="I37" s="91"/>
      <c r="J37" s="91"/>
      <c r="K37" s="91"/>
      <c r="L37" s="91"/>
      <c r="M37" s="9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x14ac:dyDescent="0.25">
      <c r="A38" s="93"/>
      <c r="B38" s="84"/>
      <c r="C38" s="84"/>
      <c r="D38" s="84"/>
      <c r="E38" s="84"/>
      <c r="F38" s="94"/>
      <c r="G38" s="34"/>
      <c r="H38" s="93"/>
      <c r="I38" s="84"/>
      <c r="J38" s="84"/>
      <c r="K38" s="84"/>
      <c r="L38" s="84"/>
      <c r="M38" s="94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thickBot="1" x14ac:dyDescent="0.3">
      <c r="A39" s="93"/>
      <c r="B39" s="84"/>
      <c r="C39" s="84"/>
      <c r="D39" s="84"/>
      <c r="E39" s="84"/>
      <c r="F39" s="94"/>
      <c r="G39" s="34"/>
      <c r="H39" s="93"/>
      <c r="I39" s="84"/>
      <c r="J39" s="84"/>
      <c r="K39" s="84"/>
      <c r="L39" s="84"/>
      <c r="M39" s="94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x14ac:dyDescent="0.25">
      <c r="A40" s="65"/>
      <c r="B40" s="9"/>
      <c r="C40" s="9"/>
      <c r="D40" s="66"/>
      <c r="E40" s="9"/>
      <c r="F40" s="9"/>
      <c r="G40" s="9"/>
      <c r="H40" s="9"/>
      <c r="I40" s="9"/>
      <c r="J40" s="9"/>
      <c r="K40" s="9"/>
      <c r="L40" s="9"/>
      <c r="M40" s="67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x14ac:dyDescent="0.25">
      <c r="A41" s="49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50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x14ac:dyDescent="0.25">
      <c r="A42" s="49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50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x14ac:dyDescent="0.25">
      <c r="A43" s="49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50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x14ac:dyDescent="0.25">
      <c r="A44" s="49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50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x14ac:dyDescent="0.25">
      <c r="A45" s="49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50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5.75" customHeight="1" x14ac:dyDescent="0.25">
      <c r="A46" s="51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52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5.75" customHeight="1" x14ac:dyDescent="0.25">
      <c r="A47" s="49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50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5.75" customHeight="1" x14ac:dyDescent="0.25">
      <c r="A48" s="49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50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25">
      <c r="A49" s="49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50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25">
      <c r="A50" s="49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50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thickBot="1" x14ac:dyDescent="0.3">
      <c r="A51" s="49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58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8.75" customHeight="1" thickBot="1" x14ac:dyDescent="0.3">
      <c r="A52" s="49"/>
      <c r="B52" s="34"/>
      <c r="C52" s="34"/>
      <c r="D52" s="195" t="s">
        <v>72</v>
      </c>
      <c r="E52" s="196"/>
      <c r="F52" s="196"/>
      <c r="G52" s="196"/>
      <c r="H52" s="196"/>
      <c r="I52" s="196"/>
      <c r="J52" s="196"/>
      <c r="K52" s="197"/>
      <c r="L52" s="34"/>
      <c r="M52" s="50"/>
      <c r="N52" s="1"/>
      <c r="O52" s="87"/>
      <c r="P52" s="85"/>
      <c r="Q52" s="85"/>
      <c r="R52" s="85"/>
      <c r="S52" s="85"/>
      <c r="T52" s="85"/>
      <c r="U52" s="1"/>
      <c r="V52" s="1"/>
      <c r="W52" s="1"/>
      <c r="X52" s="1"/>
      <c r="Y52" s="1"/>
    </row>
    <row r="53" spans="1:25" ht="15.75" customHeight="1" x14ac:dyDescent="0.25">
      <c r="A53" s="51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52"/>
      <c r="N53" s="1"/>
      <c r="O53" s="85"/>
      <c r="P53" s="85"/>
      <c r="Q53" s="85"/>
      <c r="R53" s="85"/>
      <c r="S53" s="85"/>
      <c r="T53" s="85"/>
      <c r="U53" s="1"/>
      <c r="V53" s="1"/>
      <c r="W53" s="1"/>
      <c r="X53" s="1"/>
      <c r="Y53" s="1"/>
    </row>
    <row r="54" spans="1:25" ht="15.75" customHeight="1" x14ac:dyDescent="0.25">
      <c r="A54" s="53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193"/>
      <c r="M54" s="54" t="s">
        <v>68</v>
      </c>
      <c r="N54" s="1"/>
      <c r="O54" s="2"/>
      <c r="P54" s="2"/>
      <c r="Q54" s="2"/>
      <c r="R54" s="2"/>
      <c r="S54" s="2"/>
      <c r="T54" s="2"/>
      <c r="U54" s="1"/>
      <c r="V54" s="1"/>
      <c r="W54" s="1"/>
      <c r="X54" s="1"/>
      <c r="Y54" s="1"/>
    </row>
    <row r="55" spans="1:25" ht="15.75" customHeight="1" x14ac:dyDescent="0.25">
      <c r="A55" s="49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191"/>
      <c r="M55" s="50" t="s">
        <v>69</v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25">
      <c r="A56" s="49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192"/>
      <c r="M56" s="50" t="s">
        <v>70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8.75" customHeight="1" x14ac:dyDescent="0.25">
      <c r="A57" s="49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194"/>
      <c r="M57" s="50" t="s">
        <v>71</v>
      </c>
      <c r="N57" s="1"/>
      <c r="O57" s="87"/>
      <c r="P57" s="85"/>
      <c r="Q57" s="85"/>
      <c r="R57" s="85"/>
      <c r="S57" s="85"/>
      <c r="T57" s="85"/>
      <c r="U57" s="1"/>
      <c r="V57" s="1"/>
      <c r="W57" s="1"/>
      <c r="X57" s="1"/>
      <c r="Y57" s="1"/>
    </row>
    <row r="58" spans="1:25" ht="15.75" customHeight="1" x14ac:dyDescent="0.25">
      <c r="A58" s="51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52"/>
      <c r="N58" s="1"/>
      <c r="O58" s="85"/>
      <c r="P58" s="85"/>
      <c r="Q58" s="85"/>
      <c r="R58" s="85"/>
      <c r="S58" s="85"/>
      <c r="T58" s="85"/>
      <c r="U58" s="1"/>
      <c r="V58" s="1"/>
      <c r="W58" s="1"/>
      <c r="X58" s="1"/>
      <c r="Y58" s="1"/>
    </row>
    <row r="59" spans="1:25" ht="15.75" customHeight="1" x14ac:dyDescent="0.25">
      <c r="A59" s="53"/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54"/>
      <c r="N59" s="1"/>
      <c r="O59" s="2"/>
      <c r="P59" s="2"/>
      <c r="Q59" s="2"/>
      <c r="R59" s="2"/>
      <c r="S59" s="2"/>
      <c r="T59" s="2"/>
      <c r="U59" s="1"/>
      <c r="V59" s="1"/>
      <c r="W59" s="1"/>
      <c r="X59" s="1"/>
      <c r="Y59" s="1"/>
    </row>
    <row r="60" spans="1:25" ht="15.75" customHeight="1" x14ac:dyDescent="0.25">
      <c r="A60" s="53"/>
      <c r="B60" s="48"/>
      <c r="C60" s="48"/>
      <c r="D60" s="48"/>
      <c r="E60" s="48"/>
      <c r="F60" s="48"/>
      <c r="G60" s="48"/>
      <c r="H60" s="84"/>
      <c r="I60" s="85"/>
      <c r="J60" s="85"/>
      <c r="K60" s="85"/>
      <c r="L60" s="85"/>
      <c r="M60" s="86"/>
      <c r="N60" s="1"/>
      <c r="O60" s="2"/>
      <c r="P60" s="2"/>
      <c r="Q60" s="2"/>
      <c r="R60" s="2"/>
      <c r="S60" s="2"/>
      <c r="T60" s="2"/>
      <c r="U60" s="1"/>
      <c r="V60" s="1"/>
      <c r="W60" s="1"/>
      <c r="X60" s="1"/>
      <c r="Y60" s="1"/>
    </row>
    <row r="61" spans="1:25" ht="15.75" customHeight="1" thickBot="1" x14ac:dyDescent="0.3">
      <c r="A61" s="53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54"/>
      <c r="N61" s="1"/>
      <c r="O61" s="2"/>
      <c r="P61" s="2"/>
      <c r="Q61" s="2"/>
      <c r="R61" s="2"/>
      <c r="S61" s="2"/>
      <c r="T61" s="2"/>
      <c r="U61" s="1"/>
      <c r="V61" s="1"/>
      <c r="W61" s="1"/>
      <c r="X61" s="1"/>
      <c r="Y61" s="1"/>
    </row>
    <row r="62" spans="1:25" ht="15.75" customHeight="1" x14ac:dyDescent="0.25">
      <c r="A62" s="90"/>
      <c r="B62" s="91"/>
      <c r="C62" s="91"/>
      <c r="D62" s="91"/>
      <c r="E62" s="91"/>
      <c r="F62" s="91"/>
      <c r="G62" s="91"/>
      <c r="H62" s="91"/>
      <c r="I62" s="91"/>
      <c r="J62" s="91"/>
      <c r="K62" s="91"/>
      <c r="L62" s="91"/>
      <c r="M62" s="92"/>
      <c r="N62" s="1"/>
      <c r="O62" s="87"/>
      <c r="P62" s="85"/>
      <c r="Q62" s="85"/>
      <c r="R62" s="85"/>
      <c r="S62" s="85"/>
      <c r="T62" s="85"/>
      <c r="U62" s="1"/>
      <c r="V62" s="1"/>
      <c r="W62" s="1"/>
      <c r="X62" s="1"/>
      <c r="Y62" s="1"/>
    </row>
    <row r="63" spans="1:25" ht="15.75" customHeight="1" x14ac:dyDescent="0.25">
      <c r="A63" s="93"/>
      <c r="B63" s="84"/>
      <c r="C63" s="84"/>
      <c r="D63" s="84"/>
      <c r="E63" s="84"/>
      <c r="F63" s="84"/>
      <c r="G63" s="84"/>
      <c r="H63" s="84"/>
      <c r="I63" s="84"/>
      <c r="J63" s="84"/>
      <c r="K63" s="84"/>
      <c r="L63" s="84"/>
      <c r="M63" s="94"/>
      <c r="N63" s="1"/>
      <c r="O63" s="85"/>
      <c r="P63" s="85"/>
      <c r="Q63" s="85"/>
      <c r="R63" s="85"/>
      <c r="S63" s="85"/>
      <c r="T63" s="85"/>
      <c r="U63" s="1"/>
      <c r="V63" s="1"/>
      <c r="W63" s="1"/>
      <c r="X63" s="1"/>
      <c r="Y63" s="1"/>
    </row>
    <row r="64" spans="1:25" ht="15.75" customHeight="1" thickBot="1" x14ac:dyDescent="0.3">
      <c r="A64" s="95"/>
      <c r="B64" s="96"/>
      <c r="C64" s="96"/>
      <c r="D64" s="96"/>
      <c r="E64" s="96"/>
      <c r="F64" s="96"/>
      <c r="G64" s="96"/>
      <c r="H64" s="96"/>
      <c r="I64" s="96"/>
      <c r="J64" s="96"/>
      <c r="K64" s="96"/>
      <c r="L64" s="96"/>
      <c r="M64" s="97"/>
      <c r="N64" s="1"/>
      <c r="O64" s="2"/>
      <c r="P64" s="2"/>
      <c r="Q64" s="2"/>
      <c r="R64" s="2"/>
      <c r="S64" s="2"/>
      <c r="T64" s="2"/>
      <c r="U64" s="1"/>
      <c r="V64" s="1"/>
      <c r="W64" s="1"/>
      <c r="X64" s="1"/>
      <c r="Y64" s="1"/>
    </row>
    <row r="65" spans="1:25" ht="27.75" customHeight="1" x14ac:dyDescent="0.25">
      <c r="A65" s="88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9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.75" customHeight="1" x14ac:dyDescent="0.25">
      <c r="A66" s="88"/>
      <c r="B66" s="87"/>
      <c r="C66" s="87"/>
      <c r="D66" s="87"/>
      <c r="E66" s="87"/>
      <c r="F66" s="87"/>
      <c r="G66" s="87"/>
      <c r="H66" s="87"/>
      <c r="I66" s="87"/>
      <c r="J66" s="87"/>
      <c r="K66" s="87"/>
      <c r="L66" s="87"/>
      <c r="M66" s="89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.7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.75" customHeight="1" thickBot="1" x14ac:dyDescent="0.3">
      <c r="A68" s="80" t="str">
        <f>INFO!A66</f>
        <v xml:space="preserve">            Arq. Jennifer Briseño / Ing. Julio Juarez</v>
      </c>
      <c r="B68" s="81"/>
      <c r="C68" s="81"/>
      <c r="D68" s="81"/>
      <c r="E68" s="82"/>
      <c r="F68" s="3"/>
      <c r="G68" s="3"/>
      <c r="H68" s="3"/>
      <c r="I68" s="80" t="str">
        <f>INFO!I66</f>
        <v>Rafael Soto Molina</v>
      </c>
      <c r="J68" s="81"/>
      <c r="K68" s="81"/>
      <c r="L68" s="81"/>
      <c r="M68" s="82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.75" customHeight="1" x14ac:dyDescent="0.25">
      <c r="A69" s="68" t="s">
        <v>29</v>
      </c>
      <c r="B69" s="69"/>
      <c r="C69" s="69"/>
      <c r="D69" s="69"/>
      <c r="E69" s="70"/>
      <c r="F69" s="3"/>
      <c r="G69" s="3"/>
      <c r="H69" s="3"/>
      <c r="I69" s="68" t="s">
        <v>31</v>
      </c>
      <c r="J69" s="69"/>
      <c r="K69" s="69"/>
      <c r="L69" s="69"/>
      <c r="M69" s="70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.7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5.75" customHeight="1" x14ac:dyDescent="0.25">
      <c r="A71" s="8" t="str">
        <f>INFO!A69</f>
        <v>Nota: Este formato ayudará para revisión por cualquier intento de reclamo del contratista hacia Minera Camino Rojo.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5.7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5.7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5.7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5.75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5.75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5.75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5.7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5.75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5.75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5.7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5.7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5.7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5.7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5.7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5.7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5.75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5.7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5.7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5.75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5.7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5.7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5.7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5.7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5.7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5.7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5.7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5.7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5.7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5.7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5.7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5.7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5.7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5.7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5.7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5.7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5.7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5.7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5.7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5.7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5.7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5.7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5.7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5.7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5.7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5.7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5.7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5.7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5.7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5.7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5.7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5.7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5.7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5.7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5.7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5.7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5.7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5.7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5.7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5.7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5.7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5.7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5.7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5.7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5.7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5.7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5.7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5.7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5.7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5.7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5.7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5.7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5.7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5.7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5.7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5.7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5.7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5.7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5.7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5.7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5.7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5.7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5.7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5.7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5.7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5.7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5.7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5.7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5.7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5.7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5.7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5.7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5.7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5.7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5.7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5.7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5.7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5.7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5.7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5.7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5.7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5.7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5.7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5.7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5.7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5.7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5.7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</sheetData>
  <mergeCells count="34">
    <mergeCell ref="A37:F39"/>
    <mergeCell ref="H37:M39"/>
    <mergeCell ref="A12:B12"/>
    <mergeCell ref="A13:B13"/>
    <mergeCell ref="A8:B8"/>
    <mergeCell ref="E9:M13"/>
    <mergeCell ref="K1:M4"/>
    <mergeCell ref="A6:D7"/>
    <mergeCell ref="E6:J6"/>
    <mergeCell ref="K6:M6"/>
    <mergeCell ref="E7:J7"/>
    <mergeCell ref="K7:M7"/>
    <mergeCell ref="O62:T63"/>
    <mergeCell ref="O52:T53"/>
    <mergeCell ref="O57:T58"/>
    <mergeCell ref="A65:M66"/>
    <mergeCell ref="A62:M64"/>
    <mergeCell ref="D52:K52"/>
    <mergeCell ref="I69:M69"/>
    <mergeCell ref="C8:D8"/>
    <mergeCell ref="E8:M8"/>
    <mergeCell ref="C10:D10"/>
    <mergeCell ref="C11:D11"/>
    <mergeCell ref="C12:D12"/>
    <mergeCell ref="C13:D13"/>
    <mergeCell ref="A15:M15"/>
    <mergeCell ref="A68:E68"/>
    <mergeCell ref="A69:E69"/>
    <mergeCell ref="A9:B9"/>
    <mergeCell ref="C9:D9"/>
    <mergeCell ref="A10:B10"/>
    <mergeCell ref="A11:B11"/>
    <mergeCell ref="I68:M68"/>
    <mergeCell ref="H60:M60"/>
  </mergeCells>
  <printOptions horizontalCentered="1" verticalCentered="1"/>
  <pageMargins left="0.23622047244094491" right="0.23622047244094491" top="0.35433070866141736" bottom="0.74803149606299213" header="0.31496062992125984" footer="0.31496062992125984"/>
  <pageSetup scale="6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3</vt:i4>
      </vt:variant>
    </vt:vector>
  </HeadingPairs>
  <TitlesOfParts>
    <vt:vector size="5" baseType="lpstr">
      <vt:lpstr>INFO</vt:lpstr>
      <vt:lpstr>FOTO</vt:lpstr>
      <vt:lpstr>FOTO!Área_de_impresión</vt:lpstr>
      <vt:lpstr>INFO!Área_de_impresión</vt:lpstr>
      <vt:lpstr>INFO!Títulos_a_imprimir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Bernanrdo Herrera Regla</dc:creator>
  <cp:lastModifiedBy>Rafael Soto</cp:lastModifiedBy>
  <cp:lastPrinted>2026-07-19T01:04:31Z</cp:lastPrinted>
  <dcterms:created xsi:type="dcterms:W3CDTF">2017-07-22T20:51:15Z</dcterms:created>
  <dcterms:modified xsi:type="dcterms:W3CDTF">2026-07-19T01:05:32Z</dcterms:modified>
</cp:coreProperties>
</file>